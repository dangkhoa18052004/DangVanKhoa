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ER\DangVanKhoa\TESTER\TUAN4\"/>
    </mc:Choice>
  </mc:AlternateContent>
  <xr:revisionPtr revIDLastSave="0" documentId="13_ncr:1_{72ECDC6F-C6BF-4754-A40E-F8B183EE52EA}" xr6:coauthVersionLast="47" xr6:coauthVersionMax="47" xr10:uidLastSave="{00000000-0000-0000-0000-000000000000}"/>
  <bookViews>
    <workbookView xWindow="-108" yWindow="-108" windowWidth="23256" windowHeight="12456" xr2:uid="{145A7DBA-F15B-445E-B9E0-B2BBC32AA5E0}"/>
  </bookViews>
  <sheets>
    <sheet name="Tuần 4 Bài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8" i="1" l="1"/>
  <c r="B26" i="1"/>
  <c r="B29" i="1" s="1"/>
  <c r="G24" i="1"/>
  <c r="G23" i="1"/>
  <c r="G22" i="1"/>
  <c r="G21" i="1"/>
  <c r="G20" i="1"/>
  <c r="G19" i="1"/>
  <c r="G18" i="1"/>
  <c r="G17" i="1"/>
</calcChain>
</file>

<file path=xl/sharedStrings.xml><?xml version="1.0" encoding="utf-8"?>
<sst xmlns="http://schemas.openxmlformats.org/spreadsheetml/2006/main" count="52" uniqueCount="51">
  <si>
    <t>Báo cáo kiểm thử Bài 1</t>
  </si>
  <si>
    <t>1. Giới thiệu</t>
  </si>
  <si>
    <t>Mục tiêu: Kiểm thử hàm Power(x, n) dùng đệ quy để tính x^n, với n có thể âm/0/dương.</t>
  </si>
  <si>
    <t>Phạm vi: Unit Test cho các trường hợp cơ bản, biên, và ngoại lệ (chia cho 0).</t>
  </si>
  <si>
    <t>Đối tượng kiểm thử: PowerCalculator.Power(double x, int n).</t>
  </si>
  <si>
    <t>2. Môi trường kiểm thử</t>
  </si>
  <si>
    <t>Người kiểm thử</t>
  </si>
  <si>
    <t>Đặng Văn Khoa</t>
  </si>
  <si>
    <t>Ngày kiểm20</t>
  </si>
  <si>
    <t>20/01/2026</t>
  </si>
  <si>
    <t xml:space="preserve">Hệ điều hành </t>
  </si>
  <si>
    <t>Windown 11</t>
  </si>
  <si>
    <t>IDE</t>
  </si>
  <si>
    <t>Visual Studio 2022</t>
  </si>
  <si>
    <t>.NET SDK/Target</t>
  </si>
  <si>
    <t>.NET 8</t>
  </si>
  <si>
    <t>Framework test</t>
  </si>
  <si>
    <t>MSTest</t>
  </si>
  <si>
    <t>3. Danh sách các test case</t>
  </si>
  <si>
    <t>TC_ID</t>
  </si>
  <si>
    <t>Mô tả</t>
  </si>
  <si>
    <t>Input x</t>
  </si>
  <si>
    <t>Input n</t>
  </si>
  <si>
    <t>Expected</t>
  </si>
  <si>
    <t>Actual</t>
  </si>
  <si>
    <t>Kết quả</t>
  </si>
  <si>
    <t>Ghi chú</t>
  </si>
  <si>
    <t>TC01</t>
  </si>
  <si>
    <t>n = 0 trả về 1</t>
  </si>
  <si>
    <t>TC02</t>
  </si>
  <si>
    <t>n &gt; 0 (2^3 = 8)</t>
  </si>
  <si>
    <t>TC03</t>
  </si>
  <si>
    <t>n &gt; 0 (-2)^4 = 16</t>
  </si>
  <si>
    <t>TC04</t>
  </si>
  <si>
    <t>n &gt; 0 (-2)^3 = -8</t>
  </si>
  <si>
    <t>TC05</t>
  </si>
  <si>
    <t>n &lt; 0 (2^-2 = 0.25)</t>
  </si>
  <si>
    <t>TC06</t>
  </si>
  <si>
    <t>n &lt; 0 (-2^-3 = -0.125)</t>
  </si>
  <si>
    <t>TC07</t>
  </si>
  <si>
    <t>x=0, n&gt;0 trả về 0</t>
  </si>
  <si>
    <t>TC08</t>
  </si>
  <si>
    <t>x=0, n&lt;0 ném DivideByZeroException</t>
  </si>
  <si>
    <t>DivideByZeroException</t>
  </si>
  <si>
    <t>4. Tổng kết kiểm thử</t>
  </si>
  <si>
    <t>Tổng số test case</t>
  </si>
  <si>
    <t>Số PASS</t>
  </si>
  <si>
    <t>Số FAIL</t>
  </si>
  <si>
    <t>Tỷ lệ PASS</t>
  </si>
  <si>
    <t>5. Nhận xét cải tiến</t>
  </si>
  <si>
    <t>- Nhận xét: (ghi các quan sát khi chạy test: độ ổn định, trường hợp đặc biệt...)
- Đề xuất: (ví dụ: tối ưu đệ quy thành lũy thừa nhanh, bổ sung xử lý tràn số, thêm test dữ liệu ngẫu nhiên...)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</si>
</sst>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########"/>
    <numFmt numFmtId="165" formatCode="0.0%"/>
  </numFmts>
  <fonts count="5" x14ac:knownFonts="1">
    <font>
      <sz val="11"/>
      <color theme="1"/>
      <name val="Calibri"/>
      <family val="2"/>
      <scheme val="minor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sz val="13"/>
      <color rgb="FF000000"/>
      <name val="Times New Roman"/>
      <family val="1"/>
    </font>
    <font>
      <sz val="13"/>
      <color rgb="FF0000FF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top" wrapText="1"/>
    </xf>
    <xf numFmtId="164" fontId="2" fillId="2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vertical="center"/>
    </xf>
    <xf numFmtId="165" fontId="2" fillId="2" borderId="1" xfId="0" applyNumberFormat="1" applyFont="1" applyFill="1" applyBorder="1" applyAlignment="1">
      <alignment vertical="center"/>
    </xf>
    <xf numFmtId="0" fontId="0" fillId="0" borderId="1" xfId="0" applyBorder="1" applyAlignment="1"/>
    <xf numFmtId="0" fontId="2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6587B-81EF-4F40-9CA9-1D77C56E1F97}">
  <dimension ref="A1:H36"/>
  <sheetViews>
    <sheetView tabSelected="1" topLeftCell="A11" workbookViewId="0">
      <selection activeCell="B29" sqref="B29"/>
    </sheetView>
  </sheetViews>
  <sheetFormatPr defaultRowHeight="16.8" x14ac:dyDescent="0.3"/>
  <cols>
    <col min="1" max="1" width="73" style="2" bestFit="1" customWidth="1"/>
    <col min="2" max="2" width="15.88671875" style="2" bestFit="1" customWidth="1"/>
    <col min="3" max="16384" width="8.88671875" style="2"/>
  </cols>
  <sheetData>
    <row r="1" spans="1:8" x14ac:dyDescent="0.3">
      <c r="A1" s="1" t="s">
        <v>0</v>
      </c>
      <c r="B1" s="1"/>
      <c r="C1" s="1"/>
      <c r="D1" s="1"/>
    </row>
    <row r="2" spans="1:8" x14ac:dyDescent="0.3">
      <c r="A2" s="3" t="s">
        <v>1</v>
      </c>
    </row>
    <row r="3" spans="1:8" x14ac:dyDescent="0.3">
      <c r="A3" s="2" t="s">
        <v>2</v>
      </c>
    </row>
    <row r="4" spans="1:8" x14ac:dyDescent="0.3">
      <c r="A4" s="2" t="s">
        <v>3</v>
      </c>
    </row>
    <row r="5" spans="1:8" x14ac:dyDescent="0.3">
      <c r="A5" s="2" t="s">
        <v>4</v>
      </c>
    </row>
    <row r="7" spans="1:8" x14ac:dyDescent="0.3">
      <c r="A7" s="3" t="s">
        <v>5</v>
      </c>
    </row>
    <row r="8" spans="1:8" x14ac:dyDescent="0.3">
      <c r="A8" s="3" t="s">
        <v>6</v>
      </c>
      <c r="B8" s="2" t="s">
        <v>7</v>
      </c>
    </row>
    <row r="9" spans="1:8" x14ac:dyDescent="0.3">
      <c r="A9" s="3" t="s">
        <v>8</v>
      </c>
      <c r="B9" s="2" t="s">
        <v>9</v>
      </c>
    </row>
    <row r="10" spans="1:8" x14ac:dyDescent="0.3">
      <c r="A10" s="3" t="s">
        <v>10</v>
      </c>
      <c r="B10" s="2" t="s">
        <v>11</v>
      </c>
    </row>
    <row r="11" spans="1:8" x14ac:dyDescent="0.3">
      <c r="A11" s="3" t="s">
        <v>12</v>
      </c>
      <c r="B11" s="2" t="s">
        <v>13</v>
      </c>
    </row>
    <row r="12" spans="1:8" x14ac:dyDescent="0.3">
      <c r="A12" s="4" t="s">
        <v>14</v>
      </c>
      <c r="B12" s="2" t="s">
        <v>15</v>
      </c>
    </row>
    <row r="13" spans="1:8" x14ac:dyDescent="0.3">
      <c r="A13" s="4" t="s">
        <v>16</v>
      </c>
      <c r="B13" s="2" t="s">
        <v>17</v>
      </c>
    </row>
    <row r="15" spans="1:8" x14ac:dyDescent="0.3">
      <c r="A15" s="3" t="s">
        <v>18</v>
      </c>
    </row>
    <row r="16" spans="1:8" ht="33.6" x14ac:dyDescent="0.3">
      <c r="A16" s="6" t="s">
        <v>19</v>
      </c>
      <c r="B16" s="6" t="s">
        <v>20</v>
      </c>
      <c r="C16" s="6" t="s">
        <v>21</v>
      </c>
      <c r="D16" s="6" t="s">
        <v>22</v>
      </c>
      <c r="E16" s="6" t="s">
        <v>23</v>
      </c>
      <c r="F16" s="6" t="s">
        <v>24</v>
      </c>
      <c r="G16" s="6" t="s">
        <v>25</v>
      </c>
      <c r="H16" s="6" t="s">
        <v>26</v>
      </c>
    </row>
    <row r="17" spans="1:8" x14ac:dyDescent="0.3">
      <c r="A17" s="7" t="s">
        <v>27</v>
      </c>
      <c r="B17" s="8" t="s">
        <v>28</v>
      </c>
      <c r="C17" s="9">
        <v>5.5</v>
      </c>
      <c r="D17" s="10">
        <v>0</v>
      </c>
      <c r="E17" s="9">
        <v>1</v>
      </c>
      <c r="F17" s="11">
        <v>1</v>
      </c>
      <c r="G17" s="7" t="str">
        <f t="shared" ref="G17:G24" si="0">IF(F17="","",IF(AND(ISNUMBER(E17),ISNUMBER(F17)),IF(ABS(F17-E17)&lt;0.000000001,"PASS","FAIL"),IF(F17=E17,"PASS","FAIL")))</f>
        <v>PASS</v>
      </c>
      <c r="H17" s="12"/>
    </row>
    <row r="18" spans="1:8" x14ac:dyDescent="0.3">
      <c r="A18" s="7" t="s">
        <v>29</v>
      </c>
      <c r="B18" s="8" t="s">
        <v>30</v>
      </c>
      <c r="C18" s="9">
        <v>2</v>
      </c>
      <c r="D18" s="10">
        <v>3</v>
      </c>
      <c r="E18" s="9">
        <v>8</v>
      </c>
      <c r="F18" s="11">
        <v>8</v>
      </c>
      <c r="G18" s="7" t="str">
        <f t="shared" si="0"/>
        <v>PASS</v>
      </c>
      <c r="H18" s="12"/>
    </row>
    <row r="19" spans="1:8" ht="33.6" x14ac:dyDescent="0.3">
      <c r="A19" s="7" t="s">
        <v>31</v>
      </c>
      <c r="B19" s="8" t="s">
        <v>32</v>
      </c>
      <c r="C19" s="9">
        <v>-2</v>
      </c>
      <c r="D19" s="10">
        <v>4</v>
      </c>
      <c r="E19" s="9">
        <v>16</v>
      </c>
      <c r="F19" s="11">
        <v>16</v>
      </c>
      <c r="G19" s="7" t="str">
        <f t="shared" si="0"/>
        <v>PASS</v>
      </c>
      <c r="H19" s="12"/>
    </row>
    <row r="20" spans="1:8" ht="33.6" x14ac:dyDescent="0.3">
      <c r="A20" s="7" t="s">
        <v>33</v>
      </c>
      <c r="B20" s="8" t="s">
        <v>34</v>
      </c>
      <c r="C20" s="9">
        <v>-2</v>
      </c>
      <c r="D20" s="10">
        <v>3</v>
      </c>
      <c r="E20" s="9">
        <v>-8</v>
      </c>
      <c r="F20" s="11">
        <v>-8</v>
      </c>
      <c r="G20" s="7" t="str">
        <f t="shared" si="0"/>
        <v>PASS</v>
      </c>
      <c r="H20" s="12"/>
    </row>
    <row r="21" spans="1:8" ht="33.6" x14ac:dyDescent="0.3">
      <c r="A21" s="7" t="s">
        <v>35</v>
      </c>
      <c r="B21" s="8" t="s">
        <v>36</v>
      </c>
      <c r="C21" s="9">
        <v>2</v>
      </c>
      <c r="D21" s="10">
        <v>-2</v>
      </c>
      <c r="E21" s="9">
        <v>0.25</v>
      </c>
      <c r="F21" s="11">
        <v>0.25</v>
      </c>
      <c r="G21" s="7" t="str">
        <f t="shared" si="0"/>
        <v>PASS</v>
      </c>
      <c r="H21" s="12"/>
    </row>
    <row r="22" spans="1:8" ht="33.6" x14ac:dyDescent="0.3">
      <c r="A22" s="7" t="s">
        <v>37</v>
      </c>
      <c r="B22" s="8" t="s">
        <v>38</v>
      </c>
      <c r="C22" s="9">
        <v>-2</v>
      </c>
      <c r="D22" s="10">
        <v>-3</v>
      </c>
      <c r="E22" s="9">
        <v>-0.125</v>
      </c>
      <c r="F22" s="11">
        <v>-0.125</v>
      </c>
      <c r="G22" s="7" t="str">
        <f t="shared" si="0"/>
        <v>PASS</v>
      </c>
      <c r="H22" s="12"/>
    </row>
    <row r="23" spans="1:8" ht="33.6" x14ac:dyDescent="0.3">
      <c r="A23" s="7" t="s">
        <v>39</v>
      </c>
      <c r="B23" s="8" t="s">
        <v>40</v>
      </c>
      <c r="C23" s="9">
        <v>0</v>
      </c>
      <c r="D23" s="10">
        <v>5</v>
      </c>
      <c r="E23" s="9">
        <v>0</v>
      </c>
      <c r="F23" s="11">
        <v>0</v>
      </c>
      <c r="G23" s="7" t="str">
        <f t="shared" si="0"/>
        <v>PASS</v>
      </c>
      <c r="H23" s="12"/>
    </row>
    <row r="24" spans="1:8" ht="67.2" x14ac:dyDescent="0.3">
      <c r="A24" s="7" t="s">
        <v>41</v>
      </c>
      <c r="B24" s="8" t="s">
        <v>42</v>
      </c>
      <c r="C24" s="9">
        <v>0</v>
      </c>
      <c r="D24" s="10">
        <v>-1</v>
      </c>
      <c r="E24" s="7" t="s">
        <v>43</v>
      </c>
      <c r="F24" s="7" t="s">
        <v>43</v>
      </c>
      <c r="G24" s="7" t="str">
        <f t="shared" si="0"/>
        <v>PASS</v>
      </c>
      <c r="H24" s="12"/>
    </row>
    <row r="25" spans="1:8" x14ac:dyDescent="0.3">
      <c r="A25" s="5" t="s">
        <v>44</v>
      </c>
    </row>
    <row r="26" spans="1:8" x14ac:dyDescent="0.3">
      <c r="A26" s="4" t="s">
        <v>45</v>
      </c>
      <c r="B26" s="13">
        <f>COUNTA(A15:A22)</f>
        <v>8</v>
      </c>
      <c r="C26" s="13"/>
      <c r="D26" s="13"/>
    </row>
    <row r="27" spans="1:8" x14ac:dyDescent="0.3">
      <c r="A27" s="4" t="s">
        <v>46</v>
      </c>
      <c r="B27" s="13">
        <v>8</v>
      </c>
      <c r="C27" s="13"/>
      <c r="D27" s="13"/>
    </row>
    <row r="28" spans="1:8" x14ac:dyDescent="0.3">
      <c r="A28" s="4" t="s">
        <v>47</v>
      </c>
      <c r="B28" s="13">
        <f>COUNTIF(G15:G22,"FAIL")</f>
        <v>0</v>
      </c>
      <c r="C28" s="13"/>
      <c r="D28" s="13"/>
    </row>
    <row r="29" spans="1:8" x14ac:dyDescent="0.3">
      <c r="A29" s="4" t="s">
        <v>48</v>
      </c>
      <c r="B29" s="14">
        <f>IF(B26=0,"",B27/B26)</f>
        <v>1</v>
      </c>
      <c r="C29" s="13"/>
      <c r="D29" s="13"/>
    </row>
    <row r="31" spans="1:8" x14ac:dyDescent="0.3">
      <c r="A31" s="3" t="s">
        <v>49</v>
      </c>
    </row>
    <row r="32" spans="1:8" ht="67.2" x14ac:dyDescent="0.3">
      <c r="A32" s="16" t="s">
        <v>50</v>
      </c>
      <c r="B32" s="15"/>
      <c r="C32" s="15"/>
      <c r="D32" s="15"/>
      <c r="E32" s="15"/>
      <c r="F32" s="15"/>
      <c r="G32" s="15"/>
      <c r="H32" s="15"/>
    </row>
    <row r="33" spans="1:8" x14ac:dyDescent="0.3">
      <c r="A33" s="15"/>
      <c r="B33" s="15"/>
      <c r="C33" s="15"/>
      <c r="D33" s="15"/>
      <c r="E33" s="15"/>
      <c r="F33" s="15"/>
      <c r="G33" s="15"/>
      <c r="H33" s="15"/>
    </row>
    <row r="34" spans="1:8" x14ac:dyDescent="0.3">
      <c r="A34" s="15"/>
      <c r="B34" s="15"/>
      <c r="C34" s="15"/>
      <c r="D34" s="15"/>
      <c r="E34" s="15"/>
      <c r="F34" s="15"/>
      <c r="G34" s="15"/>
      <c r="H34" s="15"/>
    </row>
    <row r="35" spans="1:8" x14ac:dyDescent="0.3">
      <c r="A35" s="15"/>
      <c r="B35" s="15"/>
      <c r="C35" s="15"/>
      <c r="D35" s="15"/>
      <c r="E35" s="15"/>
      <c r="F35" s="15"/>
      <c r="G35" s="15"/>
      <c r="H35" s="15"/>
    </row>
    <row r="36" spans="1:8" x14ac:dyDescent="0.3">
      <c r="A36" s="15"/>
      <c r="B36" s="15"/>
      <c r="C36" s="15"/>
      <c r="D36" s="15"/>
      <c r="E36" s="15"/>
      <c r="F36" s="15"/>
      <c r="G36" s="15"/>
      <c r="H36" s="15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Tuần 4 Bài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dangkhoa18052004qni@gmail.com</dc:creator>
  <cp:lastModifiedBy>dangkhoa18052004qni@gmail.com</cp:lastModifiedBy>
  <dcterms:created xsi:type="dcterms:W3CDTF">2026-01-20T07:06:21Z</dcterms:created>
  <dcterms:modified xsi:type="dcterms:W3CDTF">2026-01-20T07:17:56Z</dcterms:modified>
</cp:coreProperties>
</file>