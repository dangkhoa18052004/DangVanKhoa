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R\DangVanKhoa\TESTER\TUAN4\"/>
    </mc:Choice>
  </mc:AlternateContent>
  <xr:revisionPtr revIDLastSave="0" documentId="13_ncr:1_{66A48939-8075-4071-B4BB-72164F9F82BF}" xr6:coauthVersionLast="47" xr6:coauthVersionMax="47" xr10:uidLastSave="{00000000-0000-0000-0000-000000000000}"/>
  <bookViews>
    <workbookView xWindow="-108" yWindow="-108" windowWidth="23256" windowHeight="12456" activeTab="2" xr2:uid="{145A7DBA-F15B-445E-B9E0-B2BBC32AA5E0}"/>
  </bookViews>
  <sheets>
    <sheet name="Tuần 4 Bài 1" sheetId="1" r:id="rId1"/>
    <sheet name="Tuần 4 Bài 2" sheetId="2" r:id="rId2"/>
    <sheet name="Tuần 4 Bài 3" sheetId="3" r:id="rId3"/>
    <sheet name="Tuần 4 Bài 4" sheetId="4" r:id="rId4"/>
    <sheet name="Tuần 4 Bà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2" l="1"/>
  <c r="F17" i="2"/>
  <c r="F18" i="2"/>
  <c r="F19" i="2"/>
  <c r="F20" i="2"/>
  <c r="G24" i="1"/>
  <c r="G23" i="1"/>
  <c r="G22" i="1"/>
  <c r="G21" i="1"/>
  <c r="G20" i="1"/>
  <c r="G19" i="1"/>
  <c r="G18" i="1"/>
  <c r="G17" i="1"/>
</calcChain>
</file>

<file path=xl/sharedStrings.xml><?xml version="1.0" encoding="utf-8"?>
<sst xmlns="http://schemas.openxmlformats.org/spreadsheetml/2006/main" count="316" uniqueCount="146">
  <si>
    <t>Báo cáo kiểm thử Bài 1</t>
  </si>
  <si>
    <t>1. Giới thiệu</t>
  </si>
  <si>
    <t>Mục tiêu: Kiểm thử hàm Power(x, n) dùng đệ quy để tính x^n, với n có thể âm/0/dương.</t>
  </si>
  <si>
    <t>Phạm vi: Unit Test cho các trường hợp cơ bản, biên, và ngoại lệ (chia cho 0).</t>
  </si>
  <si>
    <t>Đối tượng kiểm thử: PowerCalculator.Power(double x, int n).</t>
  </si>
  <si>
    <t>2. Môi trường kiểm thử</t>
  </si>
  <si>
    <t>Người kiểm thử</t>
  </si>
  <si>
    <t>Đặng Văn Khoa</t>
  </si>
  <si>
    <t>Ngày kiểm20</t>
  </si>
  <si>
    <t>20/01/2026</t>
  </si>
  <si>
    <t xml:space="preserve">Hệ điều hành </t>
  </si>
  <si>
    <t>Windown 11</t>
  </si>
  <si>
    <t>IDE</t>
  </si>
  <si>
    <t>Visual Studio 2022</t>
  </si>
  <si>
    <t>.NET SDK/Target</t>
  </si>
  <si>
    <t>.NET 8</t>
  </si>
  <si>
    <t>Framework test</t>
  </si>
  <si>
    <t>MSTest</t>
  </si>
  <si>
    <t>3. Danh sách các test case</t>
  </si>
  <si>
    <t>TC_ID</t>
  </si>
  <si>
    <t>Mô tả</t>
  </si>
  <si>
    <t>Input x</t>
  </si>
  <si>
    <t>Input n</t>
  </si>
  <si>
    <t>Expected</t>
  </si>
  <si>
    <t>Actual</t>
  </si>
  <si>
    <t>Kết quả</t>
  </si>
  <si>
    <t>TC01</t>
  </si>
  <si>
    <t>n = 0 trả về 1</t>
  </si>
  <si>
    <t>TC02</t>
  </si>
  <si>
    <t>n &gt; 0 (2^3 = 8)</t>
  </si>
  <si>
    <t>TC03</t>
  </si>
  <si>
    <t>n &gt; 0 (-2)^4 = 16</t>
  </si>
  <si>
    <t>TC04</t>
  </si>
  <si>
    <t>n &gt; 0 (-2)^3 = -8</t>
  </si>
  <si>
    <t>TC05</t>
  </si>
  <si>
    <t>n &lt; 0 (2^-2 = 0.25)</t>
  </si>
  <si>
    <t>TC06</t>
  </si>
  <si>
    <t>n &lt; 0 (-2^-3 = -0.125)</t>
  </si>
  <si>
    <t>TC07</t>
  </si>
  <si>
    <t>x=0, n&gt;0 trả về 0</t>
  </si>
  <si>
    <t>TC08</t>
  </si>
  <si>
    <t>x=0, n&lt;0 ném DivideByZeroException</t>
  </si>
  <si>
    <t>DivideByZeroException</t>
  </si>
  <si>
    <t>4. Tổng kết kiểm thử</t>
  </si>
  <si>
    <t>Tổng số test case</t>
  </si>
  <si>
    <t>5. Nhận xét cải tiến</t>
  </si>
  <si>
    <t>- Nhận xét: (ghi các quan sát khi chạy test: độ ổn định, trường hợp đặc biệt...)
- Đề xuất: (ví dụ: tối ưu đệ quy thành lũy thừa nhanh, bổ sung xử lý tràn số, thêm test dữ liệu ngẫu nhiên...)</t>
  </si>
  <si>
    <t>Báo cáo kiểm thử Bài 2</t>
  </si>
  <si>
    <t>Mục tiêu: Kiểm tra constructor của Polynomial xử lý đúng dữ liệu đầu vào:                            n phải ≥ 0
danh sách hệ số phải đủ n+1 phần tử
nếu sai → ném ArgumentException với thông báo "Invalid Data"                                         Kiểm tra hàm Cal(x) tính đúng giá trị đa thức tại x.</t>
  </si>
  <si>
    <t>Phạm vi: Unit Test cho các trường hợp Polynomial(int n, List&lt;int&gt; a) và int Cal(double x)</t>
  </si>
  <si>
    <t>Tính đa thức hợp lệ</t>
  </si>
  <si>
    <t>Tính đa thức với hệ số âm</t>
  </si>
  <si>
    <t>Thiếu hệ số</t>
  </si>
  <si>
    <t>Bậc n âm</t>
  </si>
  <si>
    <t>Danh sách hệ số null</t>
  </si>
  <si>
    <t>Constructor đã kiểm tra dữ liệu đầu vào, giúp tránh lỗi khi tính toán.
Đề xuất:
Có thể đổi kiểu trả về của Cal sang double để tránh mất phần thập phân khi x không nguyên.
Có thể tối ưu tính Cal bằng Horner để giảm dùng Math.Pow (nhanh hơn).
Bổ sung test cho trường hợp x=0, x âm, bậc lớn, hệ số lớn.</t>
  </si>
  <si>
    <t>Input (n; hệ số; x)</t>
  </si>
  <si>
    <t>Result</t>
  </si>
  <si>
    <t>n=2; a=[1,2,3]; x=2</t>
  </si>
  <si>
    <t>Not Run</t>
  </si>
  <si>
    <t>n=2; a=[-1,0,2]; x=3</t>
  </si>
  <si>
    <t>n=2; a=[1,2]</t>
  </si>
  <si>
    <t>Throw ArgumentException('Invalid Data')</t>
  </si>
  <si>
    <t>n=-1; a=[1]</t>
  </si>
  <si>
    <t>n=1; a=null</t>
  </si>
  <si>
    <t>Đối tượng kiểm thử: Radix.ConvertDecimalToAnother(int radix) và constructor Radix(int number)</t>
  </si>
  <si>
    <t>Phạm vi: Unit test mức hàm (function-level), không bao gồm UI/DB.</t>
  </si>
  <si>
    <t>Mục tiêu: Kiểm tra chuyển đổi số thập phân sang cơ số k (2..16) và xử lý ngoại lệ khi number âm hoặc radix không hợp lệ.</t>
  </si>
  <si>
    <t>Mô tả / Mục tiêu</t>
  </si>
  <si>
    <t>Đổi cơ số 2: 10 -&gt; 1010</t>
  </si>
  <si>
    <t>number=10</t>
  </si>
  <si>
    <t>radix=2</t>
  </si>
  <si>
    <t>Đổi cơ số 2: 255 -&gt; 11111111</t>
  </si>
  <si>
    <t>number=255</t>
  </si>
  <si>
    <t>Đổi cơ số 16: 31 -&gt; 1F</t>
  </si>
  <si>
    <t>number=31</t>
  </si>
  <si>
    <t>radix=16</t>
  </si>
  <si>
    <t>1F</t>
  </si>
  <si>
    <t>Số 0: 0 đổi sang cơ số bất kỳ trả về '0'</t>
  </si>
  <si>
    <t>number=0</t>
  </si>
  <si>
    <t>number âm: phải ném ArgumentException</t>
  </si>
  <si>
    <t>number=-1</t>
  </si>
  <si>
    <t>(ctor)</t>
  </si>
  <si>
    <t>Throw ArgumentException('Incorrect Value')</t>
  </si>
  <si>
    <t>radix không hợp lệ: phải ném ArgumentException</t>
  </si>
  <si>
    <t>radix=1</t>
  </si>
  <si>
    <t>Throw ArgumentException('Invalid Radix')</t>
  </si>
  <si>
    <t>3. DANH SÁCH TEST CASE (BÀI 3)</t>
  </si>
  <si>
    <t>4. TỔNG KẾT KẾT QUẢ KIỂM THỬ</t>
  </si>
  <si>
    <t>Pass</t>
  </si>
  <si>
    <t>Fail</t>
  </si>
  <si>
    <t>Blocked</t>
  </si>
  <si>
    <t>Tỷ lệ Pass</t>
  </si>
  <si>
    <t>5. NHẬN XÉT VÀ ĐỀ XUẤT CẢI TIẾN</t>
  </si>
  <si>
    <t>- Nhận xét: ... - Vấn đề phát hiện (nếu có): ... - Đề xuất cải tiến: (ví dụ) tối ưu Power bằng lũy thừa nhanh (fast exponentiation) để tránh đệ quy sâu khi |n| lớn.</t>
  </si>
  <si>
    <t>PASS</t>
  </si>
  <si>
    <t>1. GIỚI THIỆU</t>
  </si>
  <si>
    <t>Mục tiêu kiểm thử</t>
  </si>
  <si>
    <t>Kiểm tra tính diện tích hình chữ nhật và kiểm tra giao nhau giữa 2 hình chữ nhật theo quy ước TopLeft/BottomRight.</t>
  </si>
  <si>
    <t>Đối tượng kiểm thử</t>
  </si>
  <si>
    <t>HinhChuNhat.DienTich() và HinhChuNhat.GiaoNhau(HinhChuNhat other)</t>
  </si>
  <si>
    <t>Phạm vi</t>
  </si>
  <si>
    <t>Unit test mức hàm (function-level), không bao gồm UI/DB.</t>
  </si>
  <si>
    <t>Tiêu chí Pass/Fail</t>
  </si>
  <si>
    <t>Pass: kết quả thực tế đúng như mong đợi. Fail: sai kết quả hoặc sai loại ngoại lệ.</t>
  </si>
  <si>
    <t>3. DANH SÁCH TEST CASE (BÀI 4)</t>
  </si>
  <si>
    <t>Tính diện tích HCN (0,10)-(5,0) = 50</t>
  </si>
  <si>
    <t>TopLeft(0,10)</t>
  </si>
  <si>
    <t>BottomRight(5,0)</t>
  </si>
  <si>
    <t>Giao nhau (chồng lấp) =&gt; True</t>
  </si>
  <si>
    <t>R1:(0,10)-(5,0)</t>
  </si>
  <si>
    <t>R2:(3,8)-(8,-1)</t>
  </si>
  <si>
    <t>Không giao nhau (tách rời) =&gt; False</t>
  </si>
  <si>
    <t>R2:(6,10)-(9,0)</t>
  </si>
  <si>
    <t>Chạm cạnh (x=5) vẫn tính giao nhau =&gt; True</t>
  </si>
  <si>
    <t>R2:(5,9)-(7,1)</t>
  </si>
  <si>
    <t>HCN không hợp lệ (top-left sai) =&gt; ném ArgumentException</t>
  </si>
  <si>
    <t>TopLeft(5,0)</t>
  </si>
  <si>
    <t>BottomRight(0,10)</t>
  </si>
  <si>
    <t>Throw ArgumentException('Invalid Rectangle')</t>
  </si>
  <si>
    <t>Điểm null =&gt; ném ArgumentNullException</t>
  </si>
  <si>
    <t>TopLeft=null</t>
  </si>
  <si>
    <t>BottomRight(1,0)</t>
  </si>
  <si>
    <t>Throw ArgumentNullException</t>
  </si>
  <si>
    <t>BÁO CÁO KIỂM THỬ - BÀI 4</t>
  </si>
  <si>
    <t>Báo cáo kiểm thử Bài 3</t>
  </si>
  <si>
    <t>BÁO CÁO KIỂM THỬ - BÀI 5 (Học bổng (HocVien, TrungTamGiaSu))</t>
  </si>
  <si>
    <t>Kiểm tra điều kiện học bổng: điểm trung bình 3 môn &gt;= 8.0 và không có môn nào &lt; 5; kiểm tra lọc danh sách học bổng.</t>
  </si>
  <si>
    <t>HocVien.DuDieuKienHocBong() và TrungTamGiaSu.DanhSachHocBong(...)</t>
  </si>
  <si>
    <t>Đủ điều kiện: DTB&gt;=8 và không môn&lt;5</t>
  </si>
  <si>
    <t>[8,8,8]</t>
  </si>
  <si>
    <t>Biên DTB=8.0 =&gt; True</t>
  </si>
  <si>
    <t>DTB&lt;8 =&gt; False</t>
  </si>
  <si>
    <t>[7.5,8,8]</t>
  </si>
  <si>
    <t>Có môn &lt;5 =&gt; False</t>
  </si>
  <si>
    <t>[10,10,4.99]</t>
  </si>
  <si>
    <t>Biên môn=5 (DTB&gt;=8) =&gt; True</t>
  </si>
  <si>
    <t>[9,10,5]</t>
  </si>
  <si>
    <t>Lọc danh sách học bổng trả đúng mã số đủ điều kiện</t>
  </si>
  <si>
    <t>DS 4 HV</t>
  </si>
  <si>
    <t>[001,004]</t>
  </si>
  <si>
    <t>Điểm ngoài [0..10] =&gt; ném ArgumentOutOfRangeException</t>
  </si>
  <si>
    <t>[11,8,8]</t>
  </si>
  <si>
    <t>Throw ArgumentOutOfRangeException</t>
  </si>
  <si>
    <t>3. DANH SÁCH TEST CASE</t>
  </si>
  <si>
    <t>Nhận xét:
Hàm chuyển đổi hoạt động đúng cho các cơ số trong khoảng 2..16, trả về ký tự 0–9, A–F đúng quy ước.
Đã kiểm tra điều kiện đầu vào: number &lt; 0 và radix ngoài phạm vi → ném exception đúng message, giúp hệ thống tránh lỗi sai logic.
Đề xuất cải tiến:
Bổ sung test cho các giá trị biên: radix=2, radix=16, number=0, number=1, number lớn.
Có thể mở rộng hỗ trợ số âm bằng cách thêm dấu “-” và chuyển phần trị tuyệt đối (nếu yêu cầu tương lai).
Có thể tối ưu bằng cách dùng StringBuilder để ghép chuỗi nhanh hơn khi số rất lớn.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</si>
</sst>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####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FF"/>
      <name val="Times New Roman"/>
      <family val="1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Fill="1"/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2" fillId="0" borderId="1" xfId="0" applyFont="1" applyBorder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0" fontId="5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/>
    <xf numFmtId="165" fontId="7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7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587B-81EF-4F40-9CA9-1D77C56E1F97}">
  <dimension ref="A1:H36"/>
  <sheetViews>
    <sheetView zoomScale="65" workbookViewId="0">
      <selection activeCell="K22" sqref="K22"/>
    </sheetView>
  </sheetViews>
  <sheetFormatPr defaultRowHeight="16.8" x14ac:dyDescent="0.3"/>
  <cols>
    <col min="1" max="1" width="73" style="2" bestFit="1" customWidth="1"/>
    <col min="2" max="2" width="15.88671875" style="2" bestFit="1" customWidth="1"/>
    <col min="3" max="16384" width="8.88671875" style="2"/>
  </cols>
  <sheetData>
    <row r="1" spans="1:8" x14ac:dyDescent="0.3">
      <c r="A1" s="1" t="s">
        <v>0</v>
      </c>
      <c r="B1" s="1"/>
      <c r="C1" s="1"/>
      <c r="D1" s="1"/>
    </row>
    <row r="2" spans="1:8" x14ac:dyDescent="0.3">
      <c r="A2" s="3" t="s">
        <v>1</v>
      </c>
    </row>
    <row r="3" spans="1:8" x14ac:dyDescent="0.3">
      <c r="A3" s="2" t="s">
        <v>2</v>
      </c>
    </row>
    <row r="4" spans="1:8" x14ac:dyDescent="0.3">
      <c r="A4" s="2" t="s">
        <v>3</v>
      </c>
    </row>
    <row r="5" spans="1:8" x14ac:dyDescent="0.3">
      <c r="A5" s="2" t="s">
        <v>4</v>
      </c>
    </row>
    <row r="7" spans="1:8" x14ac:dyDescent="0.3">
      <c r="A7" s="3" t="s">
        <v>5</v>
      </c>
    </row>
    <row r="8" spans="1:8" x14ac:dyDescent="0.3">
      <c r="A8" s="3" t="s">
        <v>6</v>
      </c>
      <c r="B8" s="2" t="s">
        <v>7</v>
      </c>
    </row>
    <row r="9" spans="1:8" x14ac:dyDescent="0.3">
      <c r="A9" s="3" t="s">
        <v>8</v>
      </c>
      <c r="B9" s="2" t="s">
        <v>9</v>
      </c>
    </row>
    <row r="10" spans="1:8" x14ac:dyDescent="0.3">
      <c r="A10" s="3" t="s">
        <v>10</v>
      </c>
      <c r="B10" s="2" t="s">
        <v>11</v>
      </c>
    </row>
    <row r="11" spans="1:8" x14ac:dyDescent="0.3">
      <c r="A11" s="3" t="s">
        <v>12</v>
      </c>
      <c r="B11" s="2" t="s">
        <v>13</v>
      </c>
    </row>
    <row r="12" spans="1:8" x14ac:dyDescent="0.3">
      <c r="A12" s="4" t="s">
        <v>14</v>
      </c>
      <c r="B12" s="2" t="s">
        <v>15</v>
      </c>
    </row>
    <row r="13" spans="1:8" x14ac:dyDescent="0.3">
      <c r="A13" s="4" t="s">
        <v>16</v>
      </c>
      <c r="B13" s="2" t="s">
        <v>17</v>
      </c>
    </row>
    <row r="15" spans="1:8" x14ac:dyDescent="0.3">
      <c r="A15" s="3" t="s">
        <v>18</v>
      </c>
    </row>
    <row r="16" spans="1:8" ht="33.6" x14ac:dyDescent="0.3">
      <c r="A16" s="6" t="s">
        <v>19</v>
      </c>
      <c r="B16" s="6" t="s">
        <v>20</v>
      </c>
      <c r="C16" s="6" t="s">
        <v>21</v>
      </c>
      <c r="D16" s="6" t="s">
        <v>22</v>
      </c>
      <c r="E16" s="6" t="s">
        <v>23</v>
      </c>
      <c r="F16" s="6" t="s">
        <v>24</v>
      </c>
      <c r="G16" s="6" t="s">
        <v>25</v>
      </c>
      <c r="H16" s="6"/>
    </row>
    <row r="17" spans="1:8" x14ac:dyDescent="0.3">
      <c r="A17" s="7" t="s">
        <v>26</v>
      </c>
      <c r="B17" s="8" t="s">
        <v>27</v>
      </c>
      <c r="C17" s="9">
        <v>5.5</v>
      </c>
      <c r="D17" s="10">
        <v>0</v>
      </c>
      <c r="E17" s="9">
        <v>1</v>
      </c>
      <c r="F17" s="34">
        <v>1</v>
      </c>
      <c r="G17" s="7" t="str">
        <f t="shared" ref="G17:G24" si="0">IF(F17="","",IF(AND(ISNUMBER(E17),ISNUMBER(F17)),IF(ABS(F17-E17)&lt;0.000000001,"PASS","FAIL"),IF(F17=E17,"PASS","FAIL")))</f>
        <v>PASS</v>
      </c>
      <c r="H17" s="12"/>
    </row>
    <row r="18" spans="1:8" x14ac:dyDescent="0.3">
      <c r="A18" s="7" t="s">
        <v>28</v>
      </c>
      <c r="B18" s="8" t="s">
        <v>29</v>
      </c>
      <c r="C18" s="9">
        <v>2</v>
      </c>
      <c r="D18" s="10">
        <v>3</v>
      </c>
      <c r="E18" s="9">
        <v>8</v>
      </c>
      <c r="F18" s="34">
        <v>8</v>
      </c>
      <c r="G18" s="7" t="str">
        <f t="shared" si="0"/>
        <v>PASS</v>
      </c>
      <c r="H18" s="12"/>
    </row>
    <row r="19" spans="1:8" ht="33.6" x14ac:dyDescent="0.3">
      <c r="A19" s="7" t="s">
        <v>30</v>
      </c>
      <c r="B19" s="8" t="s">
        <v>31</v>
      </c>
      <c r="C19" s="9">
        <v>-2</v>
      </c>
      <c r="D19" s="10">
        <v>4</v>
      </c>
      <c r="E19" s="9">
        <v>16</v>
      </c>
      <c r="F19" s="34">
        <v>16</v>
      </c>
      <c r="G19" s="7" t="str">
        <f t="shared" si="0"/>
        <v>PASS</v>
      </c>
      <c r="H19" s="12"/>
    </row>
    <row r="20" spans="1:8" ht="33.6" x14ac:dyDescent="0.3">
      <c r="A20" s="7" t="s">
        <v>32</v>
      </c>
      <c r="B20" s="8" t="s">
        <v>33</v>
      </c>
      <c r="C20" s="9">
        <v>-2</v>
      </c>
      <c r="D20" s="10">
        <v>3</v>
      </c>
      <c r="E20" s="9">
        <v>-8</v>
      </c>
      <c r="F20" s="34">
        <v>-8</v>
      </c>
      <c r="G20" s="7" t="str">
        <f t="shared" si="0"/>
        <v>PASS</v>
      </c>
      <c r="H20" s="12"/>
    </row>
    <row r="21" spans="1:8" ht="33.6" x14ac:dyDescent="0.3">
      <c r="A21" s="7" t="s">
        <v>34</v>
      </c>
      <c r="B21" s="8" t="s">
        <v>35</v>
      </c>
      <c r="C21" s="9">
        <v>2</v>
      </c>
      <c r="D21" s="10">
        <v>-2</v>
      </c>
      <c r="E21" s="9">
        <v>0.25</v>
      </c>
      <c r="F21" s="34">
        <v>0.25</v>
      </c>
      <c r="G21" s="7" t="str">
        <f t="shared" si="0"/>
        <v>PASS</v>
      </c>
      <c r="H21" s="12"/>
    </row>
    <row r="22" spans="1:8" ht="33.6" x14ac:dyDescent="0.3">
      <c r="A22" s="7" t="s">
        <v>36</v>
      </c>
      <c r="B22" s="8" t="s">
        <v>37</v>
      </c>
      <c r="C22" s="9">
        <v>-2</v>
      </c>
      <c r="D22" s="10">
        <v>-3</v>
      </c>
      <c r="E22" s="9">
        <v>-0.125</v>
      </c>
      <c r="F22" s="34">
        <v>-0.125</v>
      </c>
      <c r="G22" s="7" t="str">
        <f t="shared" si="0"/>
        <v>PASS</v>
      </c>
      <c r="H22" s="12"/>
    </row>
    <row r="23" spans="1:8" ht="33.6" x14ac:dyDescent="0.3">
      <c r="A23" s="7" t="s">
        <v>38</v>
      </c>
      <c r="B23" s="8" t="s">
        <v>39</v>
      </c>
      <c r="C23" s="9">
        <v>0</v>
      </c>
      <c r="D23" s="10">
        <v>5</v>
      </c>
      <c r="E23" s="9">
        <v>0</v>
      </c>
      <c r="F23" s="34">
        <v>0</v>
      </c>
      <c r="G23" s="7" t="str">
        <f t="shared" si="0"/>
        <v>PASS</v>
      </c>
      <c r="H23" s="12"/>
    </row>
    <row r="24" spans="1:8" ht="67.2" x14ac:dyDescent="0.3">
      <c r="A24" s="7" t="s">
        <v>40</v>
      </c>
      <c r="B24" s="8" t="s">
        <v>41</v>
      </c>
      <c r="C24" s="9">
        <v>0</v>
      </c>
      <c r="D24" s="10">
        <v>-1</v>
      </c>
      <c r="E24" s="7" t="s">
        <v>42</v>
      </c>
      <c r="F24" s="7" t="s">
        <v>42</v>
      </c>
      <c r="G24" s="7" t="str">
        <f t="shared" si="0"/>
        <v>PASS</v>
      </c>
      <c r="H24" s="12"/>
    </row>
    <row r="26" spans="1:8" x14ac:dyDescent="0.3">
      <c r="A26" s="5" t="s">
        <v>43</v>
      </c>
      <c r="C26" s="13"/>
      <c r="D26" s="13"/>
    </row>
    <row r="27" spans="1:8" x14ac:dyDescent="0.3">
      <c r="A27" s="35" t="s">
        <v>44</v>
      </c>
      <c r="B27" s="36">
        <v>8</v>
      </c>
      <c r="C27" s="13"/>
      <c r="D27" s="13"/>
    </row>
    <row r="28" spans="1:8" x14ac:dyDescent="0.3">
      <c r="A28" s="35" t="s">
        <v>89</v>
      </c>
      <c r="B28" s="36">
        <v>8</v>
      </c>
      <c r="C28" s="13"/>
      <c r="D28" s="13"/>
    </row>
    <row r="29" spans="1:8" x14ac:dyDescent="0.3">
      <c r="A29" s="35" t="s">
        <v>90</v>
      </c>
      <c r="B29" s="36">
        <v>0</v>
      </c>
      <c r="C29" s="13"/>
      <c r="D29" s="13"/>
    </row>
    <row r="30" spans="1:8" x14ac:dyDescent="0.3">
      <c r="A30" s="35" t="s">
        <v>91</v>
      </c>
      <c r="B30" s="36">
        <v>0</v>
      </c>
    </row>
    <row r="31" spans="1:8" x14ac:dyDescent="0.3">
      <c r="A31" s="35" t="s">
        <v>59</v>
      </c>
      <c r="B31" s="36">
        <v>0</v>
      </c>
    </row>
    <row r="32" spans="1:8" x14ac:dyDescent="0.3">
      <c r="A32" s="35" t="s">
        <v>92</v>
      </c>
      <c r="B32" s="37">
        <v>1</v>
      </c>
      <c r="C32" s="14"/>
      <c r="D32" s="14"/>
      <c r="E32" s="14"/>
      <c r="F32" s="14"/>
      <c r="G32" s="14"/>
      <c r="H32" s="14"/>
    </row>
    <row r="33" spans="1:8" x14ac:dyDescent="0.3">
      <c r="B33" s="14"/>
      <c r="C33" s="14"/>
      <c r="D33" s="14"/>
      <c r="E33" s="14"/>
      <c r="F33" s="14"/>
      <c r="G33" s="14"/>
      <c r="H33" s="14"/>
    </row>
    <row r="34" spans="1:8" x14ac:dyDescent="0.3">
      <c r="A34" s="3" t="s">
        <v>45</v>
      </c>
      <c r="B34" s="14"/>
      <c r="C34" s="14"/>
      <c r="D34" s="14"/>
      <c r="E34" s="14"/>
      <c r="F34" s="14"/>
      <c r="G34" s="14"/>
      <c r="H34" s="14"/>
    </row>
    <row r="35" spans="1:8" ht="67.2" x14ac:dyDescent="0.3">
      <c r="A35" s="15" t="s">
        <v>46</v>
      </c>
      <c r="B35" s="14"/>
      <c r="C35" s="14"/>
      <c r="D35" s="14"/>
      <c r="E35" s="14"/>
      <c r="F35" s="14"/>
      <c r="G35" s="14"/>
      <c r="H35" s="14"/>
    </row>
    <row r="36" spans="1:8" x14ac:dyDescent="0.3">
      <c r="A36" s="14"/>
      <c r="B36" s="14"/>
      <c r="C36" s="14"/>
      <c r="D36" s="14"/>
      <c r="E36" s="14"/>
      <c r="F36" s="14"/>
      <c r="G36" s="14"/>
      <c r="H36" s="14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2602-004F-4096-917F-F855C626E1A8}">
  <dimension ref="A1:G32"/>
  <sheetViews>
    <sheetView topLeftCell="A10" workbookViewId="0">
      <selection activeCell="A22" sqref="A22:B28"/>
    </sheetView>
  </sheetViews>
  <sheetFormatPr defaultRowHeight="16.8" x14ac:dyDescent="0.3"/>
  <cols>
    <col min="1" max="1" width="90.33203125" style="2" bestFit="1" customWidth="1"/>
    <col min="2" max="2" width="27" style="2" bestFit="1" customWidth="1"/>
    <col min="3" max="3" width="20.77734375" style="2" bestFit="1" customWidth="1"/>
    <col min="4" max="5" width="42.5546875" style="2" bestFit="1" customWidth="1"/>
    <col min="6" max="7" width="6.77734375" style="2" bestFit="1" customWidth="1"/>
    <col min="8" max="16384" width="8.88671875" style="2"/>
  </cols>
  <sheetData>
    <row r="1" spans="1:6" x14ac:dyDescent="0.3">
      <c r="A1" s="1" t="s">
        <v>47</v>
      </c>
      <c r="B1" s="1"/>
      <c r="C1" s="1"/>
      <c r="D1" s="1"/>
    </row>
    <row r="2" spans="1:6" x14ac:dyDescent="0.3">
      <c r="A2" s="3" t="s">
        <v>1</v>
      </c>
    </row>
    <row r="3" spans="1:6" ht="84" x14ac:dyDescent="0.3">
      <c r="A3" s="16" t="s">
        <v>48</v>
      </c>
    </row>
    <row r="4" spans="1:6" x14ac:dyDescent="0.3">
      <c r="A4" s="2" t="s">
        <v>49</v>
      </c>
    </row>
    <row r="6" spans="1:6" x14ac:dyDescent="0.3">
      <c r="A6" s="3" t="s">
        <v>5</v>
      </c>
    </row>
    <row r="7" spans="1:6" x14ac:dyDescent="0.3">
      <c r="A7" s="3" t="s">
        <v>6</v>
      </c>
      <c r="B7" s="2" t="s">
        <v>7</v>
      </c>
    </row>
    <row r="8" spans="1:6" x14ac:dyDescent="0.3">
      <c r="A8" s="3" t="s">
        <v>8</v>
      </c>
      <c r="B8" s="2" t="s">
        <v>9</v>
      </c>
    </row>
    <row r="9" spans="1:6" x14ac:dyDescent="0.3">
      <c r="A9" s="3" t="s">
        <v>10</v>
      </c>
      <c r="B9" s="2" t="s">
        <v>11</v>
      </c>
    </row>
    <row r="10" spans="1:6" x14ac:dyDescent="0.3">
      <c r="A10" s="3" t="s">
        <v>12</v>
      </c>
      <c r="B10" s="2" t="s">
        <v>13</v>
      </c>
    </row>
    <row r="11" spans="1:6" x14ac:dyDescent="0.3">
      <c r="A11" s="4" t="s">
        <v>14</v>
      </c>
      <c r="B11" s="2" t="s">
        <v>15</v>
      </c>
      <c r="D11" s="17"/>
    </row>
    <row r="12" spans="1:6" x14ac:dyDescent="0.3">
      <c r="A12" s="4" t="s">
        <v>16</v>
      </c>
      <c r="B12" s="2" t="s">
        <v>17</v>
      </c>
    </row>
    <row r="14" spans="1:6" x14ac:dyDescent="0.3">
      <c r="A14" s="3" t="s">
        <v>18</v>
      </c>
      <c r="C14" s="17"/>
    </row>
    <row r="15" spans="1:6" ht="33.6" x14ac:dyDescent="0.3">
      <c r="A15" s="6" t="s">
        <v>19</v>
      </c>
      <c r="B15" s="6" t="s">
        <v>20</v>
      </c>
      <c r="C15" s="18" t="s">
        <v>56</v>
      </c>
      <c r="D15" s="6" t="s">
        <v>23</v>
      </c>
      <c r="E15" s="6" t="s">
        <v>24</v>
      </c>
      <c r="F15" s="6" t="s">
        <v>25</v>
      </c>
    </row>
    <row r="16" spans="1:6" x14ac:dyDescent="0.3">
      <c r="A16" s="7" t="s">
        <v>26</v>
      </c>
      <c r="B16" s="2" t="s">
        <v>50</v>
      </c>
      <c r="C16" s="19" t="s">
        <v>58</v>
      </c>
      <c r="D16" s="9">
        <v>17</v>
      </c>
      <c r="E16" s="11">
        <v>17</v>
      </c>
      <c r="F16" s="7" t="str">
        <f>IF(E16="","",IF(AND(ISNUMBER(D16),ISNUMBER(E16)),IF(ABS(E16-D16)&lt;0.000000001,"PASS","FAIL"),IF(E16=D16,"PASS","FAIL")))</f>
        <v>PASS</v>
      </c>
    </row>
    <row r="17" spans="1:7" x14ac:dyDescent="0.3">
      <c r="A17" s="7" t="s">
        <v>28</v>
      </c>
      <c r="B17" s="22" t="s">
        <v>51</v>
      </c>
      <c r="C17" s="19" t="s">
        <v>60</v>
      </c>
      <c r="D17" s="9">
        <v>8</v>
      </c>
      <c r="E17" s="11">
        <v>8</v>
      </c>
      <c r="F17" s="7" t="str">
        <f>IF(E17="","",IF(AND(ISNUMBER(D17),ISNUMBER(E17)),IF(ABS(E17-D17)&lt;0.000000001,"PASS","FAIL"),IF(E17=D17,"PASS","FAIL")))</f>
        <v>PASS</v>
      </c>
    </row>
    <row r="18" spans="1:7" x14ac:dyDescent="0.3">
      <c r="A18" s="7" t="s">
        <v>30</v>
      </c>
      <c r="B18" s="2" t="s">
        <v>52</v>
      </c>
      <c r="C18" s="19" t="s">
        <v>61</v>
      </c>
      <c r="D18" s="19" t="s">
        <v>62</v>
      </c>
      <c r="E18" s="19" t="s">
        <v>62</v>
      </c>
      <c r="F18" s="7" t="str">
        <f>IF(E18="","",IF(AND(ISNUMBER(D18),ISNUMBER(E18)),IF(ABS(E18-D18)&lt;0.000000001,"PASS","FAIL"),IF(E18=D18,"PASS","FAIL")))</f>
        <v>PASS</v>
      </c>
    </row>
    <row r="19" spans="1:7" x14ac:dyDescent="0.3">
      <c r="A19" s="7" t="s">
        <v>32</v>
      </c>
      <c r="B19" s="21" t="s">
        <v>53</v>
      </c>
      <c r="C19" s="19" t="s">
        <v>63</v>
      </c>
      <c r="D19" s="19" t="s">
        <v>62</v>
      </c>
      <c r="E19" s="19" t="s">
        <v>62</v>
      </c>
      <c r="F19" s="7" t="str">
        <f>IF(E19="","",IF(AND(ISNUMBER(D19),ISNUMBER(E19)),IF(ABS(E19-D19)&lt;0.000000001,"PASS","FAIL"),IF(E19=D19,"PASS","FAIL")))</f>
        <v>PASS</v>
      </c>
    </row>
    <row r="20" spans="1:7" x14ac:dyDescent="0.3">
      <c r="A20" s="7" t="s">
        <v>34</v>
      </c>
      <c r="B20" s="21" t="s">
        <v>54</v>
      </c>
      <c r="C20" s="19" t="s">
        <v>64</v>
      </c>
      <c r="D20" s="19" t="s">
        <v>62</v>
      </c>
      <c r="E20" s="19" t="s">
        <v>62</v>
      </c>
      <c r="F20" s="7" t="str">
        <f>IF(E20="","",IF(AND(ISNUMBER(D20),ISNUMBER(E20)),IF(ABS(E20-D20)&lt;0.000000001,"PASS","FAIL"),IF(E20=D20,"PASS","FAIL")))</f>
        <v>PASS</v>
      </c>
    </row>
    <row r="22" spans="1:7" x14ac:dyDescent="0.3">
      <c r="C22" s="9"/>
      <c r="D22" s="10"/>
      <c r="E22" s="9"/>
      <c r="F22" s="11"/>
      <c r="G22" s="7"/>
    </row>
    <row r="23" spans="1:7" x14ac:dyDescent="0.3">
      <c r="C23" s="9"/>
      <c r="D23" s="10"/>
      <c r="E23" s="9"/>
      <c r="F23" s="11"/>
      <c r="G23" s="7"/>
    </row>
    <row r="24" spans="1:7" x14ac:dyDescent="0.3">
      <c r="C24" s="9"/>
      <c r="D24" s="10"/>
      <c r="E24" s="7"/>
      <c r="F24" s="7"/>
      <c r="G24" s="7"/>
    </row>
    <row r="26" spans="1:7" x14ac:dyDescent="0.3">
      <c r="C26" s="13"/>
      <c r="D26" s="13"/>
    </row>
    <row r="27" spans="1:7" x14ac:dyDescent="0.3">
      <c r="C27" s="13"/>
      <c r="D27" s="13"/>
    </row>
    <row r="28" spans="1:7" x14ac:dyDescent="0.3">
      <c r="C28" s="13"/>
      <c r="D28" s="13"/>
    </row>
    <row r="29" spans="1:7" x14ac:dyDescent="0.3">
      <c r="B29" s="20"/>
      <c r="C29" s="13"/>
      <c r="D29" s="13"/>
    </row>
    <row r="30" spans="1:7" x14ac:dyDescent="0.3">
      <c r="A30" s="3" t="s">
        <v>45</v>
      </c>
    </row>
    <row r="31" spans="1:7" ht="100.8" x14ac:dyDescent="0.3">
      <c r="A31" s="15" t="s">
        <v>55</v>
      </c>
    </row>
    <row r="32" spans="1:7" x14ac:dyDescent="0.3">
      <c r="C32" s="20"/>
      <c r="D32" s="20"/>
      <c r="E32" s="20"/>
      <c r="F32" s="20"/>
      <c r="G32" s="20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AB3D-28BA-4E91-BE54-FF5894411C86}">
  <dimension ref="A1:H33"/>
  <sheetViews>
    <sheetView tabSelected="1" zoomScale="50" workbookViewId="0">
      <selection sqref="A1:H33"/>
    </sheetView>
  </sheetViews>
  <sheetFormatPr defaultRowHeight="16.8" x14ac:dyDescent="0.3"/>
  <cols>
    <col min="1" max="1" width="99" style="2" bestFit="1" customWidth="1"/>
    <col min="2" max="2" width="50.21875" style="2" bestFit="1" customWidth="1"/>
    <col min="3" max="3" width="13.33203125" style="2" bestFit="1" customWidth="1"/>
    <col min="4" max="4" width="9.6640625" style="2" bestFit="1" customWidth="1"/>
    <col min="5" max="5" width="45.5546875" style="2" bestFit="1" customWidth="1"/>
    <col min="6" max="6" width="10.77734375" style="2" bestFit="1" customWidth="1"/>
    <col min="7" max="7" width="9.21875" style="2" bestFit="1" customWidth="1"/>
    <col min="8" max="8" width="9.33203125" style="2" bestFit="1" customWidth="1"/>
    <col min="9" max="16384" width="8.88671875" style="2"/>
  </cols>
  <sheetData>
    <row r="1" spans="1:8" x14ac:dyDescent="0.3">
      <c r="A1" s="1" t="s">
        <v>125</v>
      </c>
      <c r="B1" s="1"/>
      <c r="C1" s="1"/>
      <c r="D1" s="1"/>
    </row>
    <row r="2" spans="1:8" x14ac:dyDescent="0.3">
      <c r="A2" s="3" t="s">
        <v>1</v>
      </c>
    </row>
    <row r="3" spans="1:8" ht="33.6" x14ac:dyDescent="0.3">
      <c r="A3" s="23" t="s">
        <v>67</v>
      </c>
    </row>
    <row r="4" spans="1:8" x14ac:dyDescent="0.3">
      <c r="A4" s="2" t="s">
        <v>66</v>
      </c>
    </row>
    <row r="5" spans="1:8" x14ac:dyDescent="0.3">
      <c r="A5" s="2" t="s">
        <v>65</v>
      </c>
    </row>
    <row r="6" spans="1:8" x14ac:dyDescent="0.3">
      <c r="A6" s="3" t="s">
        <v>5</v>
      </c>
    </row>
    <row r="7" spans="1:8" x14ac:dyDescent="0.3">
      <c r="A7" s="3" t="s">
        <v>6</v>
      </c>
      <c r="B7" s="2" t="s">
        <v>7</v>
      </c>
    </row>
    <row r="8" spans="1:8" x14ac:dyDescent="0.3">
      <c r="A8" s="3" t="s">
        <v>8</v>
      </c>
      <c r="B8" s="2" t="s">
        <v>9</v>
      </c>
    </row>
    <row r="9" spans="1:8" x14ac:dyDescent="0.3">
      <c r="A9" s="3" t="s">
        <v>10</v>
      </c>
      <c r="B9" s="2" t="s">
        <v>11</v>
      </c>
    </row>
    <row r="10" spans="1:8" x14ac:dyDescent="0.3">
      <c r="A10" s="3" t="s">
        <v>12</v>
      </c>
      <c r="B10" s="2" t="s">
        <v>13</v>
      </c>
    </row>
    <row r="11" spans="1:8" x14ac:dyDescent="0.3">
      <c r="A11" s="4" t="s">
        <v>14</v>
      </c>
      <c r="B11" s="2" t="s">
        <v>15</v>
      </c>
      <c r="D11" s="17"/>
    </row>
    <row r="12" spans="1:8" x14ac:dyDescent="0.3">
      <c r="A12" s="4" t="s">
        <v>16</v>
      </c>
      <c r="B12" s="2" t="s">
        <v>17</v>
      </c>
    </row>
    <row r="14" spans="1:8" x14ac:dyDescent="0.3">
      <c r="A14" s="24" t="s">
        <v>87</v>
      </c>
      <c r="B14" s="24"/>
      <c r="C14" s="24"/>
      <c r="D14" s="24"/>
      <c r="E14" s="24"/>
      <c r="F14" s="24"/>
      <c r="G14" s="24"/>
      <c r="H14" s="24"/>
    </row>
    <row r="15" spans="1:8" x14ac:dyDescent="0.3">
      <c r="A15" s="18" t="s">
        <v>19</v>
      </c>
      <c r="B15" s="18" t="s">
        <v>68</v>
      </c>
      <c r="C15" s="18" t="s">
        <v>21</v>
      </c>
      <c r="D15" s="18" t="s">
        <v>22</v>
      </c>
      <c r="E15" s="18" t="s">
        <v>23</v>
      </c>
      <c r="F15" s="18" t="s">
        <v>24</v>
      </c>
      <c r="G15" s="18" t="s">
        <v>57</v>
      </c>
      <c r="H15" s="18"/>
    </row>
    <row r="16" spans="1:8" x14ac:dyDescent="0.3">
      <c r="A16" s="25" t="s">
        <v>26</v>
      </c>
      <c r="B16" s="26" t="s">
        <v>69</v>
      </c>
      <c r="C16" s="25" t="s">
        <v>70</v>
      </c>
      <c r="D16" s="25" t="s">
        <v>71</v>
      </c>
      <c r="E16" s="25">
        <v>1010</v>
      </c>
      <c r="F16" s="25">
        <v>1010</v>
      </c>
      <c r="G16" s="25" t="s">
        <v>95</v>
      </c>
      <c r="H16" s="26"/>
    </row>
    <row r="17" spans="1:8" x14ac:dyDescent="0.3">
      <c r="A17" s="25" t="s">
        <v>28</v>
      </c>
      <c r="B17" s="26" t="s">
        <v>72</v>
      </c>
      <c r="C17" s="25" t="s">
        <v>73</v>
      </c>
      <c r="D17" s="25" t="s">
        <v>71</v>
      </c>
      <c r="E17" s="25">
        <v>11111111</v>
      </c>
      <c r="F17" s="25">
        <v>11111111</v>
      </c>
      <c r="G17" s="25" t="s">
        <v>95</v>
      </c>
      <c r="H17" s="26"/>
    </row>
    <row r="18" spans="1:8" x14ac:dyDescent="0.3">
      <c r="A18" s="25" t="s">
        <v>30</v>
      </c>
      <c r="B18" s="26" t="s">
        <v>74</v>
      </c>
      <c r="C18" s="25" t="s">
        <v>75</v>
      </c>
      <c r="D18" s="25" t="s">
        <v>76</v>
      </c>
      <c r="E18" s="25" t="s">
        <v>77</v>
      </c>
      <c r="F18" s="25" t="s">
        <v>77</v>
      </c>
      <c r="G18" s="25" t="s">
        <v>95</v>
      </c>
      <c r="H18" s="26"/>
    </row>
    <row r="19" spans="1:8" x14ac:dyDescent="0.3">
      <c r="A19" s="25" t="s">
        <v>32</v>
      </c>
      <c r="B19" s="26" t="s">
        <v>78</v>
      </c>
      <c r="C19" s="25" t="s">
        <v>79</v>
      </c>
      <c r="D19" s="25" t="s">
        <v>76</v>
      </c>
      <c r="E19" s="25">
        <v>0</v>
      </c>
      <c r="F19" s="25">
        <v>0</v>
      </c>
      <c r="G19" s="25" t="s">
        <v>95</v>
      </c>
      <c r="H19" s="26"/>
    </row>
    <row r="20" spans="1:8" x14ac:dyDescent="0.3">
      <c r="A20" s="25" t="s">
        <v>34</v>
      </c>
      <c r="B20" s="26" t="s">
        <v>80</v>
      </c>
      <c r="C20" s="25" t="s">
        <v>81</v>
      </c>
      <c r="D20" s="25" t="s">
        <v>82</v>
      </c>
      <c r="E20" s="25" t="s">
        <v>83</v>
      </c>
      <c r="F20" s="25" t="s">
        <v>83</v>
      </c>
      <c r="G20" s="25" t="s">
        <v>95</v>
      </c>
      <c r="H20" s="26"/>
    </row>
    <row r="21" spans="1:8" x14ac:dyDescent="0.3">
      <c r="A21" s="25" t="s">
        <v>36</v>
      </c>
      <c r="B21" s="26" t="s">
        <v>84</v>
      </c>
      <c r="C21" s="25" t="s">
        <v>70</v>
      </c>
      <c r="D21" s="25" t="s">
        <v>85</v>
      </c>
      <c r="E21" s="25" t="s">
        <v>86</v>
      </c>
      <c r="F21" s="25" t="s">
        <v>86</v>
      </c>
      <c r="G21" s="25" t="s">
        <v>95</v>
      </c>
      <c r="H21" s="26"/>
    </row>
    <row r="23" spans="1:8" x14ac:dyDescent="0.3">
      <c r="A23" s="24" t="s">
        <v>88</v>
      </c>
      <c r="B23" s="24"/>
      <c r="C23" s="24"/>
      <c r="D23" s="24"/>
      <c r="E23" s="24"/>
    </row>
    <row r="24" spans="1:8" x14ac:dyDescent="0.3">
      <c r="A24" s="27" t="s">
        <v>44</v>
      </c>
      <c r="B24" s="28">
        <v>6</v>
      </c>
      <c r="C24" s="29"/>
      <c r="D24" s="29"/>
      <c r="E24" s="29"/>
    </row>
    <row r="25" spans="1:8" x14ac:dyDescent="0.3">
      <c r="A25" s="27" t="s">
        <v>89</v>
      </c>
      <c r="B25" s="28">
        <v>6</v>
      </c>
      <c r="C25" s="29"/>
      <c r="D25" s="29"/>
      <c r="E25" s="29"/>
    </row>
    <row r="26" spans="1:8" x14ac:dyDescent="0.3">
      <c r="A26" s="27" t="s">
        <v>90</v>
      </c>
      <c r="B26" s="28">
        <v>0</v>
      </c>
      <c r="C26" s="29"/>
      <c r="D26" s="29"/>
      <c r="E26" s="29"/>
    </row>
    <row r="27" spans="1:8" x14ac:dyDescent="0.3">
      <c r="A27" s="27" t="s">
        <v>91</v>
      </c>
      <c r="B27" s="28">
        <v>0</v>
      </c>
      <c r="C27" s="29"/>
      <c r="D27" s="29"/>
      <c r="E27" s="29"/>
    </row>
    <row r="28" spans="1:8" x14ac:dyDescent="0.3">
      <c r="A28" s="27" t="s">
        <v>59</v>
      </c>
      <c r="B28" s="28">
        <v>0</v>
      </c>
      <c r="C28" s="29"/>
      <c r="D28" s="29"/>
      <c r="E28" s="29"/>
    </row>
    <row r="29" spans="1:8" x14ac:dyDescent="0.3">
      <c r="A29" s="27" t="s">
        <v>92</v>
      </c>
      <c r="B29" s="30">
        <v>1</v>
      </c>
      <c r="C29" s="29"/>
      <c r="D29" s="29"/>
      <c r="E29" s="29"/>
    </row>
    <row r="30" spans="1:8" x14ac:dyDescent="0.3">
      <c r="A30" s="29"/>
      <c r="B30" s="29"/>
      <c r="C30" s="29"/>
      <c r="D30" s="29"/>
      <c r="E30" s="29"/>
    </row>
    <row r="31" spans="1:8" x14ac:dyDescent="0.3">
      <c r="A31" s="29"/>
      <c r="B31" s="29"/>
      <c r="C31" s="29"/>
      <c r="D31" s="29"/>
      <c r="E31" s="29"/>
    </row>
    <row r="32" spans="1:8" x14ac:dyDescent="0.3">
      <c r="A32" s="24" t="s">
        <v>93</v>
      </c>
      <c r="B32" s="24"/>
      <c r="C32" s="24"/>
      <c r="D32" s="24"/>
      <c r="E32" s="24"/>
    </row>
    <row r="33" spans="1:5" ht="120" customHeight="1" x14ac:dyDescent="0.3">
      <c r="A33" s="38" t="s">
        <v>145</v>
      </c>
      <c r="B33" s="38"/>
      <c r="C33" s="38"/>
      <c r="D33" s="38"/>
      <c r="E33" s="38"/>
    </row>
  </sheetData>
  <mergeCells count="5">
    <mergeCell ref="A1:D1"/>
    <mergeCell ref="A14:H14"/>
    <mergeCell ref="A23:E23"/>
    <mergeCell ref="A32:E32"/>
    <mergeCell ref="A33:E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BEAF-B668-4830-B968-47B473F334F8}">
  <dimension ref="A1:H41"/>
  <sheetViews>
    <sheetView topLeftCell="A13" workbookViewId="0">
      <selection activeCell="A28" sqref="A28:B33"/>
    </sheetView>
  </sheetViews>
  <sheetFormatPr defaultRowHeight="14.4" x14ac:dyDescent="0.3"/>
  <cols>
    <col min="1" max="1" width="25.88671875" bestFit="1" customWidth="1"/>
    <col min="2" max="2" width="61.33203125" bestFit="1" customWidth="1"/>
    <col min="3" max="3" width="15.6640625" bestFit="1" customWidth="1"/>
    <col min="4" max="4" width="19.21875" bestFit="1" customWidth="1"/>
    <col min="5" max="6" width="47.5546875" bestFit="1" customWidth="1"/>
    <col min="7" max="7" width="7.5546875" bestFit="1" customWidth="1"/>
  </cols>
  <sheetData>
    <row r="1" spans="1:8" ht="16.8" x14ac:dyDescent="0.3">
      <c r="A1" s="32" t="s">
        <v>124</v>
      </c>
      <c r="B1" s="32"/>
      <c r="C1" s="32"/>
      <c r="D1" s="32"/>
      <c r="E1" s="32"/>
      <c r="F1" s="32"/>
      <c r="G1" s="32"/>
      <c r="H1" s="32"/>
    </row>
    <row r="2" spans="1:8" ht="16.8" x14ac:dyDescent="0.3">
      <c r="A2" s="33" t="s">
        <v>96</v>
      </c>
      <c r="B2" s="33"/>
      <c r="C2" s="33"/>
      <c r="D2" s="33"/>
      <c r="E2" s="33"/>
      <c r="F2" s="33"/>
      <c r="G2" s="33"/>
      <c r="H2" s="33"/>
    </row>
    <row r="3" spans="1:8" ht="16.8" x14ac:dyDescent="0.3">
      <c r="A3" s="33" t="s">
        <v>97</v>
      </c>
      <c r="B3" s="26" t="s">
        <v>98</v>
      </c>
      <c r="C3" s="26"/>
      <c r="D3" s="26"/>
      <c r="E3" s="26"/>
      <c r="F3" s="26"/>
      <c r="G3" s="26"/>
      <c r="H3" s="26"/>
    </row>
    <row r="4" spans="1:8" ht="16.8" x14ac:dyDescent="0.3">
      <c r="A4" s="33" t="s">
        <v>99</v>
      </c>
      <c r="B4" s="26" t="s">
        <v>100</v>
      </c>
      <c r="C4" s="26"/>
      <c r="D4" s="26"/>
      <c r="E4" s="26"/>
      <c r="F4" s="26"/>
      <c r="G4" s="26"/>
      <c r="H4" s="26"/>
    </row>
    <row r="5" spans="1:8" ht="16.8" x14ac:dyDescent="0.3">
      <c r="A5" s="33" t="s">
        <v>101</v>
      </c>
      <c r="B5" s="31" t="s">
        <v>102</v>
      </c>
      <c r="C5" s="31"/>
      <c r="D5" s="31"/>
      <c r="E5" s="31"/>
      <c r="F5" s="31"/>
      <c r="G5" s="31"/>
      <c r="H5" s="31"/>
    </row>
    <row r="6" spans="1:8" ht="16.8" x14ac:dyDescent="0.3">
      <c r="A6" s="33" t="s">
        <v>103</v>
      </c>
      <c r="B6" s="31" t="s">
        <v>104</v>
      </c>
      <c r="C6" s="31"/>
      <c r="D6" s="31"/>
      <c r="E6" s="31"/>
      <c r="F6" s="31"/>
      <c r="G6" s="31"/>
      <c r="H6" s="31"/>
    </row>
    <row r="8" spans="1:8" ht="16.8" x14ac:dyDescent="0.3">
      <c r="A8" s="3" t="s">
        <v>5</v>
      </c>
      <c r="B8" s="2"/>
      <c r="C8" s="3"/>
      <c r="D8" s="2"/>
      <c r="E8" s="3"/>
      <c r="F8" s="2"/>
      <c r="G8" s="3"/>
      <c r="H8" s="2"/>
    </row>
    <row r="9" spans="1:8" ht="16.8" x14ac:dyDescent="0.3">
      <c r="A9" s="3" t="s">
        <v>6</v>
      </c>
      <c r="B9" s="2" t="s">
        <v>7</v>
      </c>
      <c r="C9" s="3"/>
      <c r="D9" s="2"/>
      <c r="E9" s="3"/>
      <c r="F9" s="2"/>
      <c r="G9" s="3"/>
      <c r="H9" s="2"/>
    </row>
    <row r="10" spans="1:8" ht="16.8" x14ac:dyDescent="0.3">
      <c r="A10" s="3" t="s">
        <v>8</v>
      </c>
      <c r="B10" s="2" t="s">
        <v>9</v>
      </c>
      <c r="C10" s="3"/>
      <c r="D10" s="2"/>
      <c r="E10" s="3"/>
      <c r="F10" s="2"/>
      <c r="G10" s="3"/>
      <c r="H10" s="2"/>
    </row>
    <row r="11" spans="1:8" ht="16.8" x14ac:dyDescent="0.3">
      <c r="A11" s="3" t="s">
        <v>10</v>
      </c>
      <c r="B11" s="2" t="s">
        <v>11</v>
      </c>
      <c r="C11" s="3"/>
      <c r="D11" s="2"/>
      <c r="E11" s="3"/>
      <c r="F11" s="2"/>
      <c r="G11" s="3"/>
      <c r="H11" s="2"/>
    </row>
    <row r="12" spans="1:8" ht="16.8" x14ac:dyDescent="0.3">
      <c r="A12" s="3" t="s">
        <v>12</v>
      </c>
      <c r="B12" s="2" t="s">
        <v>13</v>
      </c>
      <c r="C12" s="3"/>
      <c r="D12" s="2"/>
      <c r="E12" s="3"/>
      <c r="F12" s="2"/>
      <c r="G12" s="3"/>
      <c r="H12" s="2"/>
    </row>
    <row r="13" spans="1:8" ht="16.8" x14ac:dyDescent="0.3">
      <c r="A13" s="4" t="s">
        <v>14</v>
      </c>
      <c r="B13" s="2" t="s">
        <v>15</v>
      </c>
      <c r="C13" s="4"/>
      <c r="D13" s="2"/>
      <c r="E13" s="4"/>
      <c r="F13" s="2"/>
      <c r="G13" s="4"/>
      <c r="H13" s="2"/>
    </row>
    <row r="14" spans="1:8" ht="16.8" x14ac:dyDescent="0.3">
      <c r="A14" s="4" t="s">
        <v>16</v>
      </c>
      <c r="B14" s="2" t="s">
        <v>17</v>
      </c>
      <c r="C14" s="4"/>
      <c r="D14" s="2"/>
      <c r="E14" s="4"/>
      <c r="F14" s="2"/>
      <c r="G14" s="4"/>
      <c r="H14" s="2"/>
    </row>
    <row r="15" spans="1:8" ht="16.8" x14ac:dyDescent="0.3">
      <c r="A15" s="29"/>
      <c r="B15" s="29"/>
      <c r="C15" s="29"/>
      <c r="D15" s="29"/>
      <c r="E15" s="29"/>
      <c r="F15" s="29"/>
      <c r="G15" s="29"/>
      <c r="H15" s="29"/>
    </row>
    <row r="16" spans="1:8" ht="16.8" x14ac:dyDescent="0.3">
      <c r="A16" s="24" t="s">
        <v>105</v>
      </c>
      <c r="B16" s="24"/>
      <c r="C16" s="24"/>
      <c r="D16" s="24"/>
      <c r="E16" s="24"/>
      <c r="F16" s="24"/>
      <c r="G16" s="24"/>
      <c r="H16" s="24"/>
    </row>
    <row r="17" spans="1:8" ht="16.8" x14ac:dyDescent="0.3">
      <c r="A17" s="18" t="s">
        <v>19</v>
      </c>
      <c r="B17" s="18" t="s">
        <v>68</v>
      </c>
      <c r="C17" s="18" t="s">
        <v>21</v>
      </c>
      <c r="D17" s="18" t="s">
        <v>22</v>
      </c>
      <c r="E17" s="18" t="s">
        <v>23</v>
      </c>
      <c r="F17" s="18" t="s">
        <v>24</v>
      </c>
      <c r="G17" s="18" t="s">
        <v>57</v>
      </c>
      <c r="H17" s="18"/>
    </row>
    <row r="18" spans="1:8" ht="16.8" x14ac:dyDescent="0.3">
      <c r="A18" s="25" t="s">
        <v>26</v>
      </c>
      <c r="B18" s="26" t="s">
        <v>106</v>
      </c>
      <c r="C18" s="25" t="s">
        <v>107</v>
      </c>
      <c r="D18" s="25" t="s">
        <v>108</v>
      </c>
      <c r="E18" s="25">
        <v>50</v>
      </c>
      <c r="F18" s="25">
        <v>50</v>
      </c>
      <c r="G18" s="25" t="s">
        <v>95</v>
      </c>
      <c r="H18" s="26"/>
    </row>
    <row r="19" spans="1:8" ht="16.8" x14ac:dyDescent="0.3">
      <c r="A19" s="25" t="s">
        <v>28</v>
      </c>
      <c r="B19" s="26" t="s">
        <v>109</v>
      </c>
      <c r="C19" s="25" t="s">
        <v>110</v>
      </c>
      <c r="D19" s="25" t="s">
        <v>111</v>
      </c>
      <c r="E19" s="25" t="b">
        <v>1</v>
      </c>
      <c r="F19" s="25" t="b">
        <v>1</v>
      </c>
      <c r="G19" s="25" t="s">
        <v>95</v>
      </c>
      <c r="H19" s="26"/>
    </row>
    <row r="20" spans="1:8" ht="16.8" x14ac:dyDescent="0.3">
      <c r="A20" s="25" t="s">
        <v>30</v>
      </c>
      <c r="B20" s="26" t="s">
        <v>112</v>
      </c>
      <c r="C20" s="25" t="s">
        <v>110</v>
      </c>
      <c r="D20" s="25" t="s">
        <v>113</v>
      </c>
      <c r="E20" s="25" t="b">
        <v>0</v>
      </c>
      <c r="F20" s="25" t="b">
        <v>0</v>
      </c>
      <c r="G20" s="25" t="s">
        <v>95</v>
      </c>
      <c r="H20" s="26"/>
    </row>
    <row r="21" spans="1:8" ht="16.8" x14ac:dyDescent="0.3">
      <c r="A21" s="25" t="s">
        <v>32</v>
      </c>
      <c r="B21" s="26" t="s">
        <v>114</v>
      </c>
      <c r="C21" s="25" t="s">
        <v>110</v>
      </c>
      <c r="D21" s="25" t="s">
        <v>115</v>
      </c>
      <c r="E21" s="25" t="b">
        <v>1</v>
      </c>
      <c r="F21" s="25" t="b">
        <v>1</v>
      </c>
      <c r="G21" s="25" t="s">
        <v>95</v>
      </c>
      <c r="H21" s="26"/>
    </row>
    <row r="22" spans="1:8" ht="16.8" x14ac:dyDescent="0.3">
      <c r="A22" s="25" t="s">
        <v>34</v>
      </c>
      <c r="B22" s="26" t="s">
        <v>116</v>
      </c>
      <c r="C22" s="25" t="s">
        <v>117</v>
      </c>
      <c r="D22" s="25" t="s">
        <v>118</v>
      </c>
      <c r="E22" s="25" t="s">
        <v>119</v>
      </c>
      <c r="F22" s="25" t="s">
        <v>119</v>
      </c>
      <c r="G22" s="25" t="s">
        <v>95</v>
      </c>
      <c r="H22" s="26"/>
    </row>
    <row r="23" spans="1:8" ht="16.8" x14ac:dyDescent="0.3">
      <c r="A23" s="25" t="s">
        <v>36</v>
      </c>
      <c r="B23" s="26" t="s">
        <v>120</v>
      </c>
      <c r="C23" s="25" t="s">
        <v>121</v>
      </c>
      <c r="D23" s="25" t="s">
        <v>122</v>
      </c>
      <c r="E23" s="25" t="s">
        <v>123</v>
      </c>
      <c r="F23" s="25" t="s">
        <v>123</v>
      </c>
      <c r="G23" s="25" t="s">
        <v>95</v>
      </c>
      <c r="H23" s="26"/>
    </row>
    <row r="24" spans="1:8" ht="16.8" x14ac:dyDescent="0.3">
      <c r="A24" s="25"/>
      <c r="B24" s="26"/>
      <c r="C24" s="25"/>
      <c r="D24" s="25"/>
      <c r="E24" s="25"/>
      <c r="F24" s="25"/>
      <c r="G24" s="25"/>
      <c r="H24" s="26"/>
    </row>
    <row r="25" spans="1:8" ht="16.8" x14ac:dyDescent="0.3">
      <c r="A25" s="25"/>
      <c r="B25" s="26"/>
      <c r="C25" s="25"/>
      <c r="D25" s="25"/>
      <c r="E25" s="25"/>
      <c r="F25" s="25"/>
      <c r="G25" s="25"/>
      <c r="H25" s="26"/>
    </row>
    <row r="26" spans="1:8" ht="16.8" x14ac:dyDescent="0.3">
      <c r="A26" s="29"/>
      <c r="B26" s="29"/>
      <c r="C26" s="29"/>
      <c r="D26" s="29"/>
      <c r="E26" s="29"/>
      <c r="F26" s="29"/>
      <c r="G26" s="29"/>
      <c r="H26" s="29"/>
    </row>
    <row r="27" spans="1:8" ht="16.8" x14ac:dyDescent="0.3">
      <c r="A27" s="24" t="s">
        <v>88</v>
      </c>
      <c r="B27" s="24"/>
      <c r="C27" s="24"/>
      <c r="D27" s="24"/>
      <c r="E27" s="24"/>
      <c r="F27" s="24"/>
      <c r="G27" s="24"/>
      <c r="H27" s="24"/>
    </row>
    <row r="28" spans="1:8" ht="16.8" x14ac:dyDescent="0.3">
      <c r="A28" s="27" t="s">
        <v>44</v>
      </c>
      <c r="B28" s="28">
        <v>6</v>
      </c>
      <c r="C28" s="29"/>
      <c r="D28" s="29"/>
      <c r="E28" s="29"/>
      <c r="F28" s="29"/>
      <c r="G28" s="29"/>
      <c r="H28" s="29"/>
    </row>
    <row r="29" spans="1:8" ht="16.8" x14ac:dyDescent="0.3">
      <c r="A29" s="27" t="s">
        <v>89</v>
      </c>
      <c r="B29" s="28">
        <v>6</v>
      </c>
      <c r="C29" s="29"/>
      <c r="D29" s="29"/>
      <c r="E29" s="29"/>
      <c r="F29" s="29"/>
      <c r="G29" s="29"/>
      <c r="H29" s="29"/>
    </row>
    <row r="30" spans="1:8" ht="16.8" x14ac:dyDescent="0.3">
      <c r="A30" s="27" t="s">
        <v>90</v>
      </c>
      <c r="B30" s="28">
        <v>0</v>
      </c>
      <c r="C30" s="29"/>
      <c r="D30" s="29"/>
      <c r="E30" s="29"/>
      <c r="F30" s="29"/>
      <c r="G30" s="29"/>
      <c r="H30" s="29"/>
    </row>
    <row r="31" spans="1:8" ht="16.8" x14ac:dyDescent="0.3">
      <c r="A31" s="27" t="s">
        <v>91</v>
      </c>
      <c r="B31" s="28">
        <v>0</v>
      </c>
      <c r="C31" s="29"/>
      <c r="D31" s="29"/>
      <c r="E31" s="29"/>
      <c r="F31" s="29"/>
      <c r="G31" s="29"/>
      <c r="H31" s="29"/>
    </row>
    <row r="32" spans="1:8" ht="16.8" x14ac:dyDescent="0.3">
      <c r="A32" s="27" t="s">
        <v>59</v>
      </c>
      <c r="B32" s="28">
        <v>0</v>
      </c>
      <c r="C32" s="29"/>
      <c r="D32" s="29"/>
      <c r="E32" s="29"/>
      <c r="F32" s="29"/>
      <c r="G32" s="29"/>
      <c r="H32" s="29"/>
    </row>
    <row r="33" spans="1:8" ht="16.8" x14ac:dyDescent="0.3">
      <c r="A33" s="27" t="s">
        <v>92</v>
      </c>
      <c r="B33" s="30">
        <v>1</v>
      </c>
      <c r="C33" s="29"/>
      <c r="D33" s="29"/>
      <c r="E33" s="29"/>
      <c r="F33" s="29"/>
      <c r="G33" s="29"/>
      <c r="H33" s="29"/>
    </row>
    <row r="34" spans="1:8" ht="16.8" x14ac:dyDescent="0.3">
      <c r="A34" s="29"/>
      <c r="B34" s="29"/>
      <c r="C34" s="29"/>
      <c r="D34" s="29"/>
      <c r="E34" s="29"/>
      <c r="F34" s="29"/>
      <c r="G34" s="29"/>
      <c r="H34" s="29"/>
    </row>
    <row r="35" spans="1:8" ht="16.8" x14ac:dyDescent="0.3">
      <c r="A35" s="29"/>
      <c r="B35" s="29"/>
      <c r="C35" s="29"/>
      <c r="D35" s="29"/>
      <c r="E35" s="29"/>
      <c r="F35" s="29"/>
      <c r="G35" s="29"/>
      <c r="H35" s="29"/>
    </row>
    <row r="36" spans="1:8" ht="16.8" x14ac:dyDescent="0.3">
      <c r="A36" s="24" t="s">
        <v>93</v>
      </c>
      <c r="B36" s="24"/>
      <c r="C36" s="24"/>
      <c r="D36" s="24"/>
      <c r="E36" s="24"/>
      <c r="F36" s="24"/>
      <c r="G36" s="24"/>
      <c r="H36" s="24"/>
    </row>
    <row r="37" spans="1:8" x14ac:dyDescent="0.3">
      <c r="A37" s="31" t="s">
        <v>94</v>
      </c>
      <c r="B37" s="31"/>
      <c r="C37" s="31"/>
      <c r="D37" s="31"/>
      <c r="E37" s="31"/>
      <c r="F37" s="31"/>
      <c r="G37" s="31"/>
      <c r="H37" s="31"/>
    </row>
    <row r="38" spans="1:8" x14ac:dyDescent="0.3">
      <c r="A38" s="31"/>
      <c r="B38" s="31"/>
      <c r="C38" s="31"/>
      <c r="D38" s="31"/>
      <c r="E38" s="31"/>
      <c r="F38" s="31"/>
      <c r="G38" s="31"/>
      <c r="H38" s="31"/>
    </row>
    <row r="39" spans="1:8" x14ac:dyDescent="0.3">
      <c r="A39" s="31"/>
      <c r="B39" s="31"/>
      <c r="C39" s="31"/>
      <c r="D39" s="31"/>
      <c r="E39" s="31"/>
      <c r="F39" s="31"/>
      <c r="G39" s="31"/>
      <c r="H39" s="31"/>
    </row>
    <row r="40" spans="1:8" x14ac:dyDescent="0.3">
      <c r="A40" s="31"/>
      <c r="B40" s="31"/>
      <c r="C40" s="31"/>
      <c r="D40" s="31"/>
      <c r="E40" s="31"/>
      <c r="F40" s="31"/>
      <c r="G40" s="31"/>
      <c r="H40" s="31"/>
    </row>
    <row r="41" spans="1:8" x14ac:dyDescent="0.3">
      <c r="A41" s="31"/>
      <c r="B41" s="31"/>
      <c r="C41" s="31"/>
      <c r="D41" s="31"/>
      <c r="E41" s="31"/>
      <c r="F41" s="31"/>
      <c r="G41" s="31"/>
      <c r="H41" s="31"/>
    </row>
  </sheetData>
  <mergeCells count="7">
    <mergeCell ref="A27:H27"/>
    <mergeCell ref="A36:H36"/>
    <mergeCell ref="A37:H41"/>
    <mergeCell ref="A16:H16"/>
    <mergeCell ref="A1:H1"/>
    <mergeCell ref="B5:H5"/>
    <mergeCell ref="B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D30B-1E2C-4951-AF8E-9F2AE3D86E76}">
  <dimension ref="A1:H41"/>
  <sheetViews>
    <sheetView topLeftCell="A19" workbookViewId="0">
      <selection activeCell="B33" sqref="B33"/>
    </sheetView>
  </sheetViews>
  <sheetFormatPr defaultRowHeight="14.4" x14ac:dyDescent="0.3"/>
  <cols>
    <col min="1" max="1" width="25.88671875" bestFit="1" customWidth="1"/>
    <col min="2" max="2" width="61.109375" bestFit="1" customWidth="1"/>
    <col min="3" max="3" width="18.88671875" bestFit="1" customWidth="1"/>
    <col min="4" max="4" width="8.77734375" bestFit="1" customWidth="1"/>
    <col min="5" max="5" width="40.21875" bestFit="1" customWidth="1"/>
    <col min="6" max="6" width="8.21875" bestFit="1" customWidth="1"/>
    <col min="7" max="7" width="15.88671875" bestFit="1" customWidth="1"/>
    <col min="8" max="8" width="9.33203125" bestFit="1" customWidth="1"/>
  </cols>
  <sheetData>
    <row r="1" spans="1:8" ht="16.8" x14ac:dyDescent="0.3">
      <c r="A1" s="32" t="s">
        <v>126</v>
      </c>
      <c r="B1" s="32"/>
      <c r="C1" s="32"/>
      <c r="D1" s="32"/>
      <c r="E1" s="32"/>
      <c r="F1" s="32"/>
      <c r="G1" s="32"/>
      <c r="H1" s="32"/>
    </row>
    <row r="2" spans="1:8" ht="16.8" x14ac:dyDescent="0.3">
      <c r="A2" s="33" t="s">
        <v>96</v>
      </c>
      <c r="B2" s="33"/>
      <c r="C2" s="33"/>
      <c r="D2" s="33"/>
      <c r="E2" s="33"/>
      <c r="F2" s="33"/>
      <c r="G2" s="33"/>
      <c r="H2" s="33"/>
    </row>
    <row r="3" spans="1:8" ht="16.8" x14ac:dyDescent="0.3">
      <c r="A3" s="33" t="s">
        <v>97</v>
      </c>
      <c r="B3" s="26" t="s">
        <v>127</v>
      </c>
      <c r="C3" s="26"/>
      <c r="D3" s="26"/>
      <c r="E3" s="26"/>
      <c r="F3" s="26"/>
      <c r="G3" s="26"/>
      <c r="H3" s="26"/>
    </row>
    <row r="4" spans="1:8" ht="16.8" x14ac:dyDescent="0.3">
      <c r="A4" s="33" t="s">
        <v>99</v>
      </c>
      <c r="B4" s="26" t="s">
        <v>128</v>
      </c>
      <c r="C4" s="26"/>
      <c r="D4" s="26"/>
      <c r="E4" s="26"/>
      <c r="F4" s="26"/>
      <c r="G4" s="26"/>
      <c r="H4" s="26"/>
    </row>
    <row r="5" spans="1:8" ht="16.8" x14ac:dyDescent="0.3">
      <c r="A5" s="33" t="s">
        <v>101</v>
      </c>
      <c r="B5" s="31" t="s">
        <v>102</v>
      </c>
      <c r="C5" s="31"/>
      <c r="D5" s="31"/>
      <c r="E5" s="31"/>
      <c r="F5" s="31"/>
      <c r="G5" s="31"/>
      <c r="H5" s="31"/>
    </row>
    <row r="6" spans="1:8" ht="16.8" x14ac:dyDescent="0.3">
      <c r="A6" s="33" t="s">
        <v>103</v>
      </c>
      <c r="B6" s="31" t="s">
        <v>104</v>
      </c>
      <c r="C6" s="31"/>
      <c r="D6" s="31"/>
      <c r="E6" s="31"/>
      <c r="F6" s="31"/>
      <c r="G6" s="31"/>
      <c r="H6" s="31"/>
    </row>
    <row r="8" spans="1:8" ht="16.8" x14ac:dyDescent="0.3">
      <c r="A8" s="3" t="s">
        <v>5</v>
      </c>
      <c r="B8" s="2"/>
      <c r="C8" s="3"/>
      <c r="D8" s="2"/>
      <c r="E8" s="3"/>
      <c r="F8" s="2"/>
      <c r="G8" s="3"/>
      <c r="H8" s="2"/>
    </row>
    <row r="9" spans="1:8" ht="16.8" x14ac:dyDescent="0.3">
      <c r="A9" s="3" t="s">
        <v>6</v>
      </c>
      <c r="B9" s="2" t="s">
        <v>7</v>
      </c>
      <c r="C9" s="3"/>
      <c r="D9" s="2"/>
      <c r="E9" s="3"/>
      <c r="F9" s="2"/>
      <c r="G9" s="3"/>
      <c r="H9" s="2"/>
    </row>
    <row r="10" spans="1:8" ht="16.8" x14ac:dyDescent="0.3">
      <c r="A10" s="3" t="s">
        <v>8</v>
      </c>
      <c r="B10" s="2" t="s">
        <v>9</v>
      </c>
      <c r="C10" s="3"/>
      <c r="D10" s="2"/>
      <c r="E10" s="3"/>
      <c r="F10" s="2"/>
      <c r="G10" s="3"/>
      <c r="H10" s="2"/>
    </row>
    <row r="11" spans="1:8" ht="16.8" x14ac:dyDescent="0.3">
      <c r="A11" s="3" t="s">
        <v>10</v>
      </c>
      <c r="B11" s="2" t="s">
        <v>11</v>
      </c>
      <c r="C11" s="3"/>
      <c r="D11" s="2"/>
      <c r="E11" s="3"/>
      <c r="F11" s="2"/>
      <c r="G11" s="3"/>
      <c r="H11" s="2"/>
    </row>
    <row r="12" spans="1:8" ht="16.8" x14ac:dyDescent="0.3">
      <c r="A12" s="3" t="s">
        <v>12</v>
      </c>
      <c r="B12" s="2" t="s">
        <v>13</v>
      </c>
      <c r="C12" s="3"/>
      <c r="D12" s="2"/>
      <c r="E12" s="3"/>
      <c r="F12" s="2"/>
      <c r="G12" s="3"/>
      <c r="H12" s="2"/>
    </row>
    <row r="13" spans="1:8" ht="16.8" x14ac:dyDescent="0.3">
      <c r="A13" s="4" t="s">
        <v>14</v>
      </c>
      <c r="B13" s="2" t="s">
        <v>15</v>
      </c>
      <c r="C13" s="4"/>
      <c r="D13" s="2"/>
      <c r="E13" s="4"/>
      <c r="F13" s="2"/>
      <c r="G13" s="4"/>
      <c r="H13" s="2"/>
    </row>
    <row r="14" spans="1:8" ht="16.8" x14ac:dyDescent="0.3">
      <c r="A14" s="4" t="s">
        <v>16</v>
      </c>
      <c r="B14" s="2" t="s">
        <v>17</v>
      </c>
      <c r="C14" s="4"/>
      <c r="D14" s="2"/>
      <c r="E14" s="4"/>
      <c r="F14" s="2"/>
      <c r="G14" s="4"/>
      <c r="H14" s="2"/>
    </row>
    <row r="15" spans="1:8" ht="16.8" x14ac:dyDescent="0.3">
      <c r="A15" s="29"/>
      <c r="B15" s="29"/>
      <c r="C15" s="29"/>
      <c r="D15" s="29"/>
      <c r="E15" s="29"/>
      <c r="F15" s="29"/>
      <c r="G15" s="29"/>
      <c r="H15" s="29"/>
    </row>
    <row r="16" spans="1:8" ht="16.8" x14ac:dyDescent="0.3">
      <c r="A16" s="24" t="s">
        <v>144</v>
      </c>
      <c r="B16" s="24"/>
      <c r="C16" s="24"/>
      <c r="D16" s="24"/>
      <c r="E16" s="24"/>
      <c r="F16" s="24"/>
      <c r="G16" s="24"/>
      <c r="H16" s="24"/>
    </row>
    <row r="17" spans="1:8" ht="16.8" x14ac:dyDescent="0.3">
      <c r="A17" s="18" t="s">
        <v>19</v>
      </c>
      <c r="B17" s="18" t="s">
        <v>68</v>
      </c>
      <c r="C17" s="18" t="s">
        <v>21</v>
      </c>
      <c r="D17" s="18" t="s">
        <v>22</v>
      </c>
      <c r="E17" s="18" t="s">
        <v>23</v>
      </c>
      <c r="F17" s="18" t="s">
        <v>24</v>
      </c>
      <c r="G17" s="18" t="s">
        <v>57</v>
      </c>
      <c r="H17" s="18"/>
    </row>
    <row r="18" spans="1:8" ht="16.8" x14ac:dyDescent="0.3">
      <c r="A18" s="25" t="s">
        <v>26</v>
      </c>
      <c r="B18" s="26" t="s">
        <v>129</v>
      </c>
      <c r="C18" s="25" t="s">
        <v>130</v>
      </c>
      <c r="D18" s="25"/>
      <c r="E18" s="25" t="b">
        <v>1</v>
      </c>
      <c r="F18" s="25" t="b">
        <v>1</v>
      </c>
      <c r="G18" s="25" t="s">
        <v>95</v>
      </c>
      <c r="H18" s="26"/>
    </row>
    <row r="19" spans="1:8" ht="16.8" x14ac:dyDescent="0.3">
      <c r="A19" s="25" t="s">
        <v>28</v>
      </c>
      <c r="B19" s="26" t="s">
        <v>131</v>
      </c>
      <c r="C19" s="25" t="s">
        <v>130</v>
      </c>
      <c r="D19" s="25"/>
      <c r="E19" s="25" t="b">
        <v>1</v>
      </c>
      <c r="F19" s="25" t="b">
        <v>1</v>
      </c>
      <c r="G19" s="25" t="s">
        <v>95</v>
      </c>
      <c r="H19" s="26"/>
    </row>
    <row r="20" spans="1:8" ht="16.8" x14ac:dyDescent="0.3">
      <c r="A20" s="25" t="s">
        <v>30</v>
      </c>
      <c r="B20" s="26" t="s">
        <v>132</v>
      </c>
      <c r="C20" s="25" t="s">
        <v>133</v>
      </c>
      <c r="D20" s="25"/>
      <c r="E20" s="25" t="b">
        <v>0</v>
      </c>
      <c r="F20" s="25" t="b">
        <v>0</v>
      </c>
      <c r="G20" s="25" t="s">
        <v>95</v>
      </c>
      <c r="H20" s="26"/>
    </row>
    <row r="21" spans="1:8" ht="16.8" x14ac:dyDescent="0.3">
      <c r="A21" s="25" t="s">
        <v>32</v>
      </c>
      <c r="B21" s="26" t="s">
        <v>134</v>
      </c>
      <c r="C21" s="25" t="s">
        <v>135</v>
      </c>
      <c r="D21" s="25"/>
      <c r="E21" s="25" t="b">
        <v>0</v>
      </c>
      <c r="F21" s="25" t="b">
        <v>0</v>
      </c>
      <c r="G21" s="25" t="s">
        <v>95</v>
      </c>
      <c r="H21" s="26"/>
    </row>
    <row r="22" spans="1:8" ht="16.8" x14ac:dyDescent="0.3">
      <c r="A22" s="25" t="s">
        <v>34</v>
      </c>
      <c r="B22" s="26" t="s">
        <v>136</v>
      </c>
      <c r="C22" s="25" t="s">
        <v>137</v>
      </c>
      <c r="D22" s="25"/>
      <c r="E22" s="25" t="b">
        <v>1</v>
      </c>
      <c r="F22" s="25" t="b">
        <v>1</v>
      </c>
      <c r="G22" s="25" t="s">
        <v>95</v>
      </c>
      <c r="H22" s="26"/>
    </row>
    <row r="23" spans="1:8" ht="16.8" x14ac:dyDescent="0.3">
      <c r="A23" s="25" t="s">
        <v>36</v>
      </c>
      <c r="B23" s="26" t="s">
        <v>138</v>
      </c>
      <c r="C23" s="25" t="s">
        <v>139</v>
      </c>
      <c r="D23" s="25"/>
      <c r="E23" s="25" t="s">
        <v>140</v>
      </c>
      <c r="F23" s="25">
        <v>0.02</v>
      </c>
      <c r="G23" s="25" t="s">
        <v>95</v>
      </c>
      <c r="H23" s="26"/>
    </row>
    <row r="24" spans="1:8" ht="16.8" x14ac:dyDescent="0.3">
      <c r="A24" s="25" t="s">
        <v>38</v>
      </c>
      <c r="B24" s="26" t="s">
        <v>141</v>
      </c>
      <c r="C24" s="25" t="s">
        <v>142</v>
      </c>
      <c r="D24" s="25"/>
      <c r="E24" s="25" t="s">
        <v>143</v>
      </c>
      <c r="F24" s="25" t="s">
        <v>143</v>
      </c>
      <c r="G24" s="25" t="s">
        <v>95</v>
      </c>
      <c r="H24" s="26"/>
    </row>
    <row r="25" spans="1:8" ht="16.8" x14ac:dyDescent="0.3">
      <c r="A25" s="25"/>
      <c r="B25" s="26"/>
      <c r="C25" s="25"/>
      <c r="D25" s="25"/>
      <c r="E25" s="25"/>
      <c r="F25" s="25"/>
      <c r="G25" s="25"/>
      <c r="H25" s="26"/>
    </row>
    <row r="26" spans="1:8" ht="16.8" x14ac:dyDescent="0.3">
      <c r="A26" s="29"/>
      <c r="B26" s="29"/>
      <c r="C26" s="29"/>
      <c r="D26" s="29"/>
      <c r="E26" s="29"/>
      <c r="F26" s="29"/>
      <c r="G26" s="29"/>
      <c r="H26" s="29"/>
    </row>
    <row r="27" spans="1:8" ht="16.8" x14ac:dyDescent="0.3">
      <c r="A27" s="24" t="s">
        <v>88</v>
      </c>
      <c r="B27" s="24"/>
      <c r="C27" s="24"/>
      <c r="D27" s="24"/>
      <c r="E27" s="24"/>
      <c r="F27" s="24"/>
      <c r="G27" s="24"/>
      <c r="H27" s="24"/>
    </row>
    <row r="28" spans="1:8" ht="16.8" x14ac:dyDescent="0.3">
      <c r="A28" s="27" t="s">
        <v>44</v>
      </c>
      <c r="B28" s="28">
        <v>7</v>
      </c>
      <c r="C28" s="29"/>
      <c r="D28" s="29"/>
      <c r="E28" s="29"/>
      <c r="F28" s="29"/>
      <c r="G28" s="29"/>
      <c r="H28" s="29"/>
    </row>
    <row r="29" spans="1:8" ht="16.8" x14ac:dyDescent="0.3">
      <c r="A29" s="27" t="s">
        <v>89</v>
      </c>
      <c r="B29" s="28">
        <v>7</v>
      </c>
      <c r="C29" s="29"/>
      <c r="D29" s="29"/>
      <c r="E29" s="29"/>
      <c r="F29" s="29"/>
      <c r="G29" s="29"/>
      <c r="H29" s="29"/>
    </row>
    <row r="30" spans="1:8" ht="16.8" x14ac:dyDescent="0.3">
      <c r="A30" s="27" t="s">
        <v>90</v>
      </c>
      <c r="B30" s="28">
        <v>0</v>
      </c>
      <c r="C30" s="29"/>
      <c r="D30" s="29"/>
      <c r="E30" s="29"/>
      <c r="F30" s="29"/>
      <c r="G30" s="29"/>
      <c r="H30" s="29"/>
    </row>
    <row r="31" spans="1:8" ht="16.8" x14ac:dyDescent="0.3">
      <c r="A31" s="27" t="s">
        <v>91</v>
      </c>
      <c r="B31" s="28">
        <v>0</v>
      </c>
      <c r="C31" s="29"/>
      <c r="D31" s="29"/>
      <c r="E31" s="29"/>
      <c r="F31" s="29"/>
      <c r="G31" s="29"/>
      <c r="H31" s="29"/>
    </row>
    <row r="32" spans="1:8" ht="16.8" x14ac:dyDescent="0.3">
      <c r="A32" s="27" t="s">
        <v>59</v>
      </c>
      <c r="B32" s="28">
        <v>7</v>
      </c>
      <c r="C32" s="29"/>
      <c r="D32" s="29"/>
      <c r="E32" s="29"/>
      <c r="F32" s="29"/>
      <c r="G32" s="29"/>
      <c r="H32" s="29"/>
    </row>
    <row r="33" spans="1:8" ht="16.8" x14ac:dyDescent="0.3">
      <c r="A33" s="27" t="s">
        <v>92</v>
      </c>
      <c r="B33" s="30">
        <v>1</v>
      </c>
      <c r="C33" s="29"/>
      <c r="D33" s="29"/>
      <c r="E33" s="29"/>
      <c r="F33" s="29"/>
      <c r="G33" s="29"/>
      <c r="H33" s="29"/>
    </row>
    <row r="34" spans="1:8" ht="16.8" x14ac:dyDescent="0.3">
      <c r="A34" s="29"/>
      <c r="B34" s="29"/>
      <c r="C34" s="29"/>
      <c r="D34" s="29"/>
      <c r="E34" s="29"/>
      <c r="F34" s="29"/>
      <c r="G34" s="29"/>
      <c r="H34" s="29"/>
    </row>
    <row r="35" spans="1:8" ht="16.8" x14ac:dyDescent="0.3">
      <c r="A35" s="29"/>
      <c r="B35" s="29"/>
      <c r="C35" s="29"/>
      <c r="D35" s="29"/>
      <c r="E35" s="29"/>
      <c r="F35" s="29"/>
      <c r="G35" s="29"/>
      <c r="H35" s="29"/>
    </row>
    <row r="36" spans="1:8" ht="16.8" x14ac:dyDescent="0.3">
      <c r="A36" s="24" t="s">
        <v>93</v>
      </c>
      <c r="B36" s="24"/>
      <c r="C36" s="24"/>
      <c r="D36" s="24"/>
      <c r="E36" s="24"/>
      <c r="F36" s="24"/>
      <c r="G36" s="24"/>
      <c r="H36" s="24"/>
    </row>
    <row r="37" spans="1:8" x14ac:dyDescent="0.3">
      <c r="A37" s="31" t="s">
        <v>94</v>
      </c>
      <c r="B37" s="31"/>
      <c r="C37" s="31"/>
      <c r="D37" s="31"/>
      <c r="E37" s="31"/>
      <c r="F37" s="31"/>
      <c r="G37" s="31"/>
      <c r="H37" s="31"/>
    </row>
    <row r="38" spans="1:8" x14ac:dyDescent="0.3">
      <c r="A38" s="31"/>
      <c r="B38" s="31"/>
      <c r="C38" s="31"/>
      <c r="D38" s="31"/>
      <c r="E38" s="31"/>
      <c r="F38" s="31"/>
      <c r="G38" s="31"/>
      <c r="H38" s="31"/>
    </row>
    <row r="39" spans="1:8" x14ac:dyDescent="0.3">
      <c r="A39" s="31"/>
      <c r="B39" s="31"/>
      <c r="C39" s="31"/>
      <c r="D39" s="31"/>
      <c r="E39" s="31"/>
      <c r="F39" s="31"/>
      <c r="G39" s="31"/>
      <c r="H39" s="31"/>
    </row>
    <row r="40" spans="1:8" x14ac:dyDescent="0.3">
      <c r="A40" s="31"/>
      <c r="B40" s="31"/>
      <c r="C40" s="31"/>
      <c r="D40" s="31"/>
      <c r="E40" s="31"/>
      <c r="F40" s="31"/>
      <c r="G40" s="31"/>
      <c r="H40" s="31"/>
    </row>
    <row r="41" spans="1:8" x14ac:dyDescent="0.3">
      <c r="A41" s="31"/>
      <c r="B41" s="31"/>
      <c r="C41" s="31"/>
      <c r="D41" s="31"/>
      <c r="E41" s="31"/>
      <c r="F41" s="31"/>
      <c r="G41" s="31"/>
      <c r="H41" s="31"/>
    </row>
  </sheetData>
  <mergeCells count="7">
    <mergeCell ref="A27:H27"/>
    <mergeCell ref="A36:H36"/>
    <mergeCell ref="A37:H41"/>
    <mergeCell ref="A16:H16"/>
    <mergeCell ref="A1:H1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Tuần 4 Bài 1</vt:lpstr>
      <vt:lpstr>Tuần 4 Bài 2</vt:lpstr>
      <vt:lpstr>Tuần 4 Bài 3</vt:lpstr>
      <vt:lpstr>Tuần 4 Bài 4</vt:lpstr>
      <vt:lpstr>Tuần 4 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dangkhoa18052004qni@gmail.com</dc:creator>
  <cp:lastModifiedBy>dangkhoa18052004qni@gmail.com</cp:lastModifiedBy>
  <dcterms:created xsi:type="dcterms:W3CDTF">2026-01-20T07:06:21Z</dcterms:created>
  <dcterms:modified xsi:type="dcterms:W3CDTF">2026-01-20T08:11:10Z</dcterms:modified>
</cp:coreProperties>
</file>