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tap\QLDAPM\"/>
    </mc:Choice>
  </mc:AlternateContent>
  <xr:revisionPtr revIDLastSave="0" documentId="13_ncr:1_{B813792C-4BD6-4093-96C0-7D712D365D1F}" xr6:coauthVersionLast="47" xr6:coauthVersionMax="47" xr10:uidLastSave="{00000000-0000-0000-0000-000000000000}"/>
  <bookViews>
    <workbookView xWindow="-108" yWindow="-108" windowWidth="23256" windowHeight="12456" xr2:uid="{8D021BC3-D1C3-4D30-9F52-819669801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1" l="1"/>
  <c r="B62" i="1" s="1"/>
  <c r="B60" i="1"/>
  <c r="F63" i="1" s="1"/>
  <c r="S47" i="1"/>
  <c r="T47" i="1"/>
  <c r="U47" i="1"/>
  <c r="V47" i="1"/>
  <c r="K47" i="1"/>
  <c r="M46" i="1"/>
  <c r="M47" i="1" s="1"/>
  <c r="L46" i="1"/>
  <c r="L47" i="1" s="1"/>
  <c r="N46" i="1"/>
  <c r="N47" i="1" s="1"/>
  <c r="O46" i="1"/>
  <c r="O47" i="1" s="1"/>
  <c r="P46" i="1"/>
  <c r="P47" i="1" s="1"/>
  <c r="Q46" i="1"/>
  <c r="Q47" i="1" s="1"/>
  <c r="R46" i="1"/>
  <c r="R47" i="1" s="1"/>
  <c r="S46" i="1"/>
  <c r="T46" i="1"/>
  <c r="U46" i="1"/>
  <c r="V46" i="1"/>
  <c r="K46" i="1"/>
  <c r="H45" i="1"/>
  <c r="H46" i="1"/>
  <c r="H47" i="1"/>
  <c r="H48" i="1"/>
  <c r="H44" i="1"/>
  <c r="L39" i="1"/>
  <c r="K39" i="1"/>
  <c r="K40" i="1" s="1"/>
  <c r="K30" i="1"/>
  <c r="C36" i="1"/>
  <c r="C37" i="1" s="1"/>
  <c r="D36" i="1"/>
  <c r="D37" i="1" s="1"/>
  <c r="E36" i="1"/>
  <c r="E37" i="1" s="1"/>
  <c r="F36" i="1"/>
  <c r="F37" i="1" s="1"/>
  <c r="G36" i="1"/>
  <c r="G37" i="1" s="1"/>
  <c r="B36" i="1"/>
  <c r="B37" i="1" s="1"/>
  <c r="B38" i="1" s="1"/>
  <c r="L30" i="1"/>
  <c r="M30" i="1"/>
  <c r="N30" i="1"/>
  <c r="O30" i="1"/>
  <c r="P30" i="1"/>
  <c r="Q30" i="1"/>
  <c r="R30" i="1"/>
  <c r="G28" i="1"/>
  <c r="G27" i="1"/>
  <c r="L18" i="1"/>
  <c r="L20" i="1" s="1"/>
  <c r="M18" i="1"/>
  <c r="M20" i="1" s="1"/>
  <c r="N18" i="1"/>
  <c r="N20" i="1" s="1"/>
  <c r="O18" i="1"/>
  <c r="O19" i="1" s="1"/>
  <c r="P18" i="1"/>
  <c r="P19" i="1" s="1"/>
  <c r="Q18" i="1"/>
  <c r="Q19" i="1" s="1"/>
  <c r="R18" i="1"/>
  <c r="R20" i="1" s="1"/>
  <c r="K18" i="1"/>
  <c r="K20" i="1" s="1"/>
  <c r="L17" i="1"/>
  <c r="M17" i="1"/>
  <c r="N17" i="1"/>
  <c r="O17" i="1"/>
  <c r="P17" i="1"/>
  <c r="Q17" i="1"/>
  <c r="R17" i="1"/>
  <c r="K17" i="1"/>
  <c r="L7" i="1"/>
  <c r="L8" i="1" s="1"/>
  <c r="M7" i="1"/>
  <c r="M8" i="1" s="1"/>
  <c r="N7" i="1"/>
  <c r="N8" i="1" s="1"/>
  <c r="O7" i="1"/>
  <c r="O8" i="1" s="1"/>
  <c r="P7" i="1"/>
  <c r="P8" i="1" s="1"/>
  <c r="Q7" i="1"/>
  <c r="Q8" i="1" s="1"/>
  <c r="R7" i="1"/>
  <c r="R9" i="1" s="1"/>
  <c r="K7" i="1"/>
  <c r="K9" i="1" s="1"/>
  <c r="B7" i="1"/>
  <c r="B9" i="1"/>
  <c r="L6" i="1"/>
  <c r="M6" i="1"/>
  <c r="N6" i="1"/>
  <c r="O6" i="1"/>
  <c r="P6" i="1"/>
  <c r="Q6" i="1"/>
  <c r="R6" i="1"/>
  <c r="K6" i="1"/>
  <c r="C18" i="1"/>
  <c r="C20" i="1" s="1"/>
  <c r="D18" i="1"/>
  <c r="D20" i="1" s="1"/>
  <c r="E18" i="1"/>
  <c r="E20" i="1" s="1"/>
  <c r="F18" i="1"/>
  <c r="F20" i="1" s="1"/>
  <c r="G18" i="1"/>
  <c r="G20" i="1" s="1"/>
  <c r="B18" i="1"/>
  <c r="B20" i="1" s="1"/>
  <c r="C7" i="1"/>
  <c r="C9" i="1" s="1"/>
  <c r="D7" i="1"/>
  <c r="D8" i="1" s="1"/>
  <c r="E7" i="1"/>
  <c r="E8" i="1" s="1"/>
  <c r="F7" i="1"/>
  <c r="F8" i="1" s="1"/>
  <c r="G7" i="1"/>
  <c r="G8" i="1" s="1"/>
  <c r="C17" i="1"/>
  <c r="D17" i="1"/>
  <c r="E17" i="1"/>
  <c r="F17" i="1"/>
  <c r="G17" i="1"/>
  <c r="B17" i="1"/>
  <c r="C6" i="1"/>
  <c r="D6" i="1"/>
  <c r="E6" i="1"/>
  <c r="F6" i="1"/>
  <c r="G6" i="1"/>
  <c r="B6" i="1"/>
  <c r="L31" i="1" l="1"/>
  <c r="M31" i="1" s="1"/>
  <c r="N31" i="1" s="1"/>
  <c r="O31" i="1" s="1"/>
  <c r="P31" i="1" s="1"/>
  <c r="Q31" i="1" s="1"/>
  <c r="R31" i="1" s="1"/>
  <c r="Q20" i="1"/>
  <c r="P20" i="1"/>
  <c r="B64" i="1"/>
  <c r="B63" i="1"/>
  <c r="B65" i="1" s="1"/>
  <c r="B66" i="1" s="1"/>
  <c r="C62" i="1" s="1"/>
  <c r="C64" i="1" s="1"/>
  <c r="C65" i="1" s="1"/>
  <c r="C66" i="1" s="1"/>
  <c r="D62" i="1" s="1"/>
  <c r="D64" i="1" s="1"/>
  <c r="D65" i="1" s="1"/>
  <c r="D66" i="1" s="1"/>
  <c r="E62" i="1" s="1"/>
  <c r="E64" i="1" s="1"/>
  <c r="E65" i="1" s="1"/>
  <c r="E63" i="1"/>
  <c r="D63" i="1"/>
  <c r="C63" i="1"/>
  <c r="K48" i="1"/>
  <c r="K49" i="1" s="1"/>
  <c r="C38" i="1"/>
  <c r="D38" i="1" s="1"/>
  <c r="E38" i="1" s="1"/>
  <c r="F38" i="1" s="1"/>
  <c r="G38" i="1" s="1"/>
  <c r="K31" i="1"/>
  <c r="G9" i="1"/>
  <c r="F9" i="1"/>
  <c r="E9" i="1"/>
  <c r="C8" i="1"/>
  <c r="D9" i="1"/>
  <c r="B19" i="1"/>
  <c r="G19" i="1"/>
  <c r="Q9" i="1"/>
  <c r="F19" i="1"/>
  <c r="P9" i="1"/>
  <c r="O9" i="1"/>
  <c r="K19" i="1"/>
  <c r="D19" i="1"/>
  <c r="B22" i="1" s="1"/>
  <c r="N9" i="1"/>
  <c r="M9" i="1"/>
  <c r="R19" i="1"/>
  <c r="L9" i="1"/>
  <c r="K8" i="1"/>
  <c r="N19" i="1"/>
  <c r="R8" i="1"/>
  <c r="O20" i="1"/>
  <c r="M19" i="1"/>
  <c r="L19" i="1"/>
  <c r="E19" i="1"/>
  <c r="B8" i="1"/>
  <c r="B11" i="1" s="1"/>
  <c r="C19" i="1"/>
  <c r="B10" i="1"/>
  <c r="E66" i="1" l="1"/>
  <c r="F62" i="1" s="1"/>
  <c r="F64" i="1" s="1"/>
  <c r="F65" i="1" s="1"/>
  <c r="F66" i="1" s="1"/>
  <c r="K22" i="1"/>
  <c r="K21" i="1"/>
  <c r="B21" i="1"/>
  <c r="K11" i="1"/>
  <c r="K10" i="1"/>
</calcChain>
</file>

<file path=xl/sharedStrings.xml><?xml version="1.0" encoding="utf-8"?>
<sst xmlns="http://schemas.openxmlformats.org/spreadsheetml/2006/main" count="128" uniqueCount="86">
  <si>
    <t>Năm</t>
  </si>
  <si>
    <t>Đầu tư</t>
  </si>
  <si>
    <t>Lợi nhuận</t>
  </si>
  <si>
    <t>Dự án 1</t>
  </si>
  <si>
    <t>Dự án 2</t>
  </si>
  <si>
    <t>CFt</t>
  </si>
  <si>
    <t>a) NPV</t>
  </si>
  <si>
    <t>PV chi phí</t>
  </si>
  <si>
    <t>PV lợi ích</t>
  </si>
  <si>
    <t>Hệ số chiết khấu</t>
  </si>
  <si>
    <t>b) Lợi ích/chi phí</t>
  </si>
  <si>
    <t>c) Chọn dự án 2</t>
  </si>
  <si>
    <t>Bài 2</t>
  </si>
  <si>
    <t>Dòng vào</t>
  </si>
  <si>
    <t>Dòng ra</t>
  </si>
  <si>
    <t>Bài 1</t>
  </si>
  <si>
    <t>c) Chọn dự án 2 vì NPV và PI của dự án 2 đều cao hơn dự án 1</t>
  </si>
  <si>
    <t>Bài 3</t>
  </si>
  <si>
    <t xml:space="preserve">Dự án </t>
  </si>
  <si>
    <t>Chi phí đầu tư</t>
  </si>
  <si>
    <t>Dòng tiền hàng năm</t>
  </si>
  <si>
    <t>Số năm hoàn vốn</t>
  </si>
  <si>
    <t>A</t>
  </si>
  <si>
    <t>B</t>
  </si>
  <si>
    <t>Vì công ty quan tâm đến dòng tiền của họ thì theo thời gian hòa vốn công ty nên chọn dự án A</t>
  </si>
  <si>
    <t>Bài 4</t>
  </si>
  <si>
    <t>Chi phí</t>
  </si>
  <si>
    <t>CF</t>
  </si>
  <si>
    <t>r</t>
  </si>
  <si>
    <t xml:space="preserve"> r</t>
  </si>
  <si>
    <r>
      <rPr>
        <b/>
        <sz val="12"/>
        <rFont val="Times New Roman"/>
        <family val="1"/>
      </rPr>
      <t>Dự án 1</t>
    </r>
    <r>
      <rPr>
        <sz val="12"/>
        <color theme="0"/>
        <rFont val="Times New Roman"/>
        <family val="1"/>
      </rPr>
      <t xml:space="preserve">                                                                      Đơn vị tính: triệu đồng</t>
    </r>
  </si>
  <si>
    <r>
      <rPr>
        <b/>
        <sz val="12"/>
        <rFont val="Times New Roman"/>
        <family val="1"/>
      </rPr>
      <t xml:space="preserve">Dự án 2 </t>
    </r>
    <r>
      <rPr>
        <sz val="12"/>
        <rFont val="Times New Roman"/>
        <family val="1"/>
      </rPr>
      <t xml:space="preserve">                                                              </t>
    </r>
    <r>
      <rPr>
        <sz val="12"/>
        <color theme="0"/>
        <rFont val="Times New Roman"/>
        <family val="1"/>
      </rPr>
      <t>Đơn vị tính: triệu đồng</t>
    </r>
  </si>
  <si>
    <r>
      <t>Năm</t>
    </r>
    <r>
      <rPr>
        <sz val="12"/>
        <color theme="1"/>
        <rFont val="Times New Roman"/>
        <family val="1"/>
      </rPr>
      <t>(để hoàn vốn)</t>
    </r>
  </si>
  <si>
    <r>
      <t>PV</t>
    </r>
    <r>
      <rPr>
        <sz val="12"/>
        <color theme="1"/>
        <rFont val="Times New Roman"/>
        <family val="1"/>
      </rPr>
      <t>(chiết khấu 10%)</t>
    </r>
  </si>
  <si>
    <r>
      <rPr>
        <b/>
        <sz val="12"/>
        <color theme="1"/>
        <rFont val="Times New Roman"/>
        <family val="1"/>
      </rPr>
      <t>PV</t>
    </r>
    <r>
      <rPr>
        <sz val="12"/>
        <color theme="1"/>
        <rFont val="Times New Roman"/>
        <family val="1"/>
      </rPr>
      <t>(tích lũy)</t>
    </r>
  </si>
  <si>
    <r>
      <rPr>
        <b/>
        <sz val="12"/>
        <color theme="1"/>
        <rFont val="Times New Roman"/>
        <family val="1"/>
      </rPr>
      <t>Bài 5</t>
    </r>
    <r>
      <rPr>
        <sz val="12"/>
        <color theme="1"/>
        <rFont val="Times New Roman"/>
        <family val="1"/>
      </rPr>
      <t xml:space="preserve">                                                                                            </t>
    </r>
    <r>
      <rPr>
        <b/>
        <sz val="12"/>
        <color theme="0"/>
        <rFont val="Times New Roman"/>
        <family val="1"/>
      </rPr>
      <t xml:space="preserve"> Đơn vị tính triệu đồng</t>
    </r>
  </si>
  <si>
    <r>
      <rPr>
        <b/>
        <sz val="12"/>
        <color theme="1"/>
        <rFont val="Times New Roman"/>
        <family val="1"/>
      </rPr>
      <t>PV</t>
    </r>
    <r>
      <rPr>
        <sz val="12"/>
        <color theme="1"/>
        <rFont val="Times New Roman"/>
        <family val="1"/>
      </rPr>
      <t>(chiết khấu 10%)</t>
    </r>
  </si>
  <si>
    <t>Vậy hồi vốn sau 4,8 năm và đến năm thứ 5 thì thu lời được 3.344 triệu đồng</t>
  </si>
  <si>
    <t>Bài 6</t>
  </si>
  <si>
    <t>Khoản nợ</t>
  </si>
  <si>
    <t>Số tiền</t>
  </si>
  <si>
    <r>
      <rPr>
        <b/>
        <sz val="12"/>
        <rFont val="Times New Roman"/>
        <family val="1"/>
      </rPr>
      <t>Dự án B</t>
    </r>
    <r>
      <rPr>
        <sz val="12"/>
        <color theme="0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b/>
        <sz val="12"/>
        <color theme="0"/>
        <rFont val="Times New Roman"/>
        <family val="1"/>
      </rPr>
      <t>Đơn vị tính: triệu đồng</t>
    </r>
  </si>
  <si>
    <r>
      <rPr>
        <b/>
        <sz val="12"/>
        <rFont val="Times New Roman"/>
        <family val="1"/>
      </rPr>
      <t>Dự án A</t>
    </r>
    <r>
      <rPr>
        <sz val="12"/>
        <color theme="0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b/>
        <sz val="12"/>
        <color theme="0"/>
        <rFont val="Times New Roman"/>
        <family val="1"/>
      </rPr>
      <t>Đơn vị tính: triệu đồng</t>
    </r>
  </si>
  <si>
    <t>Giá trị năm thứ 3</t>
  </si>
  <si>
    <t>Tổng tiền phải trả khi trả hết tại năm thứ 3</t>
  </si>
  <si>
    <t>Bài 7</t>
  </si>
  <si>
    <t>Tiêu chí</t>
  </si>
  <si>
    <t>Nhà tài trợ</t>
  </si>
  <si>
    <t>Hỗ trợ chiến lược kinh doanh</t>
  </si>
  <si>
    <t>Tính cấp thiết</t>
  </si>
  <si>
    <t>10% doanh số từ sản phẩm mới</t>
  </si>
  <si>
    <t>cạnh tranh</t>
  </si>
  <si>
    <t>lấp đầy khoảng trống thị trường</t>
  </si>
  <si>
    <t>tổng trọng số</t>
  </si>
  <si>
    <t>Trọng số</t>
  </si>
  <si>
    <t>Dự án 3</t>
  </si>
  <si>
    <t>Dự án 4</t>
  </si>
  <si>
    <t>Dự án 5</t>
  </si>
  <si>
    <t>a) dự án đánh giá cao nhất là dự án 4, thấp nhất là dự án 3</t>
  </si>
  <si>
    <t>b) Nếu trọng số nhà tài trợ mạnh là từ 2 thành 5 thì có thay đổi tổng trọng số và 3 dự án cao nhất là dự án 2,4,1</t>
  </si>
  <si>
    <t xml:space="preserve">c) Trọng số quan trọng là vì nó phản ánh tầm quan trọng chiến lược khi ta thay đổi trọng số thì kết quả xếp hạng cũng thay đổi </t>
  </si>
  <si>
    <t>Bài 8</t>
  </si>
  <si>
    <t xml:space="preserve">Tháng </t>
  </si>
  <si>
    <t>Dòng tiền phải trả</t>
  </si>
  <si>
    <t>PV từng kỳ</t>
  </si>
  <si>
    <t>Tổng PV</t>
  </si>
  <si>
    <t>Vậy tiền phải trả khi mua đứt 1 lần là</t>
  </si>
  <si>
    <t>Thời gian hoàn vốn là 7 năm 3 tháng</t>
  </si>
  <si>
    <t>Bài 9</t>
  </si>
  <si>
    <t>Số tiền vay ban đầu</t>
  </si>
  <si>
    <t>Lãi xuất</t>
  </si>
  <si>
    <t>Thanh toán mỗi năm(đã trả trước)</t>
  </si>
  <si>
    <t>Số năm đã trả (n1)</t>
  </si>
  <si>
    <t>Số năm còn lại muốn trả(m)</t>
  </si>
  <si>
    <t>Số dư sau n1 năm</t>
  </si>
  <si>
    <t>Khoản trả hàng năm mới(A)</t>
  </si>
  <si>
    <t>Dư nợ đầu kỳ</t>
  </si>
  <si>
    <t>Tiền trả (A)</t>
  </si>
  <si>
    <t>Lãi</t>
  </si>
  <si>
    <t>Gốc trả</t>
  </si>
  <si>
    <t>Dư nợ cuối kỳ</t>
  </si>
  <si>
    <t>Nếu công ty muốn tất toán khoản nợ này trong 5 năm tiếp theo, thì số tiền phải trả đều hằng năm là:33.338.553 đồng/năm.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</si>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</sst>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3" borderId="6" xfId="0" applyFont="1" applyFill="1" applyBorder="1" applyAlignment="1"/>
    <xf numFmtId="0" fontId="1" fillId="0" borderId="2" xfId="0" applyFont="1" applyBorder="1"/>
    <xf numFmtId="9" fontId="1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1" fillId="0" borderId="4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3" borderId="4" xfId="0" applyFont="1" applyFill="1" applyBorder="1"/>
    <xf numFmtId="0" fontId="2" fillId="0" borderId="4" xfId="0" applyFont="1" applyBorder="1"/>
    <xf numFmtId="0" fontId="1" fillId="3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center"/>
    </xf>
    <xf numFmtId="0" fontId="1" fillId="3" borderId="7" xfId="0" applyFont="1" applyFill="1" applyBorder="1" applyAlignment="1"/>
    <xf numFmtId="0" fontId="1" fillId="4" borderId="7" xfId="0" applyFont="1" applyFill="1" applyBorder="1" applyAlignment="1"/>
    <xf numFmtId="0" fontId="1" fillId="0" borderId="0" xfId="0" applyFont="1" applyBorder="1"/>
    <xf numFmtId="0" fontId="2" fillId="0" borderId="5" xfId="0" applyFont="1" applyBorder="1" applyAlignment="1">
      <alignment horizontal="center"/>
    </xf>
    <xf numFmtId="8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0" fontId="1" fillId="0" borderId="0" xfId="0" applyFont="1"/>
    <xf numFmtId="0" fontId="2" fillId="3" borderId="8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2" fillId="2" borderId="2" xfId="0" applyFont="1" applyFill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8" xfId="0" applyFont="1" applyBorder="1" applyAlignment="1">
      <alignment horizontal="center"/>
    </xf>
    <xf numFmtId="0" fontId="2" fillId="0" borderId="0" xfId="0" applyFont="1" applyAlignment="1"/>
    <xf numFmtId="0" fontId="2" fillId="0" borderId="4" xfId="0" applyFont="1" applyBorder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4" xfId="0" applyFont="1" applyBorder="1"/>
    <xf numFmtId="0" fontId="1" fillId="3" borderId="7" xfId="0" applyFont="1" applyFill="1" applyBorder="1" applyAlignment="1">
      <alignment horizontal="center"/>
    </xf>
    <xf numFmtId="0" fontId="1" fillId="4" borderId="7" xfId="0" applyFont="1" applyFill="1" applyBorder="1"/>
    <xf numFmtId="0" fontId="3" fillId="2" borderId="4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5" borderId="1" xfId="0" applyFont="1" applyFill="1" applyBorder="1"/>
    <xf numFmtId="0" fontId="0" fillId="0" borderId="0" xfId="0" applyBorder="1" applyAlignment="1">
      <alignment horizontal="center"/>
    </xf>
    <xf numFmtId="0" fontId="8" fillId="0" borderId="6" xfId="0" applyFont="1" applyBorder="1"/>
    <xf numFmtId="2" fontId="2" fillId="0" borderId="8" xfId="0" applyNumberFormat="1" applyFont="1" applyBorder="1" applyAlignment="1">
      <alignment horizontal="center"/>
    </xf>
    <xf numFmtId="0" fontId="2" fillId="4" borderId="0" xfId="0" applyFont="1" applyFill="1" applyBorder="1" applyAlignment="1"/>
    <xf numFmtId="0" fontId="2" fillId="0" borderId="9" xfId="0" applyFont="1" applyBorder="1"/>
    <xf numFmtId="0" fontId="1" fillId="4" borderId="10" xfId="0" applyFont="1" applyFill="1" applyBorder="1" applyAlignment="1"/>
    <xf numFmtId="0" fontId="1" fillId="4" borderId="8" xfId="0" applyFont="1" applyFill="1" applyBorder="1" applyAlignment="1"/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A501-5BD6-4132-A558-C6CBF04F1684}">
  <dimension ref="A1:V67"/>
  <sheetViews>
    <sheetView tabSelected="1" topLeftCell="A34" zoomScale="91" zoomScaleNormal="100" workbookViewId="0">
      <selection activeCell="H57" sqref="H57"/>
    </sheetView>
  </sheetViews>
  <sheetFormatPr defaultRowHeight="15.6" x14ac:dyDescent="0.3"/>
  <cols>
    <col min="1" max="1" width="19.21875" style="6" bestFit="1" customWidth="1"/>
    <col min="2" max="2" width="13.33203125" style="6" bestFit="1" customWidth="1"/>
    <col min="3" max="3" width="12.77734375" style="6" customWidth="1"/>
    <col min="4" max="4" width="14.44140625" style="6" bestFit="1" customWidth="1"/>
    <col min="5" max="5" width="13.77734375" style="6" customWidth="1"/>
    <col min="6" max="6" width="14.109375" style="6" bestFit="1" customWidth="1"/>
    <col min="7" max="7" width="13" style="6" customWidth="1"/>
    <col min="8" max="8" width="25.109375" style="6" customWidth="1"/>
    <col min="9" max="9" width="13.33203125" style="6" customWidth="1"/>
    <col min="10" max="10" width="41" style="6" customWidth="1"/>
    <col min="11" max="16" width="8.88671875" style="6"/>
    <col min="17" max="17" width="8.33203125" style="6" customWidth="1"/>
    <col min="18" max="16384" width="8.88671875" style="6"/>
  </cols>
  <sheetData>
    <row r="1" spans="1:18" x14ac:dyDescent="0.3">
      <c r="A1" s="28" t="s">
        <v>15</v>
      </c>
      <c r="B1" s="2" t="s">
        <v>29</v>
      </c>
      <c r="C1" s="3">
        <v>0.17</v>
      </c>
      <c r="D1" s="4"/>
      <c r="E1" s="4"/>
      <c r="F1" s="4"/>
      <c r="G1" s="5"/>
      <c r="J1" s="28" t="s">
        <v>12</v>
      </c>
      <c r="K1" s="2" t="s">
        <v>28</v>
      </c>
      <c r="L1" s="3">
        <v>0.18</v>
      </c>
      <c r="M1" s="4"/>
      <c r="N1" s="4"/>
      <c r="O1" s="4"/>
      <c r="P1" s="4"/>
      <c r="Q1" s="4"/>
      <c r="R1" s="5"/>
    </row>
    <row r="2" spans="1:18" x14ac:dyDescent="0.3">
      <c r="A2" s="51" t="s">
        <v>30</v>
      </c>
      <c r="B2" s="52"/>
      <c r="C2" s="52"/>
      <c r="D2" s="52"/>
      <c r="E2" s="52"/>
      <c r="F2" s="52"/>
      <c r="G2" s="53"/>
      <c r="J2" s="48" t="s">
        <v>42</v>
      </c>
      <c r="K2" s="49"/>
      <c r="L2" s="49"/>
      <c r="M2" s="49"/>
      <c r="N2" s="49"/>
      <c r="O2" s="49"/>
      <c r="P2" s="49"/>
      <c r="Q2" s="49"/>
      <c r="R2" s="50"/>
    </row>
    <row r="3" spans="1:18" x14ac:dyDescent="0.3">
      <c r="A3" s="7" t="s">
        <v>0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9">
        <v>5</v>
      </c>
      <c r="J3" s="7" t="s">
        <v>0</v>
      </c>
      <c r="K3" s="12">
        <v>0</v>
      </c>
      <c r="L3" s="12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3">
        <v>7</v>
      </c>
    </row>
    <row r="4" spans="1:18" x14ac:dyDescent="0.3">
      <c r="A4" s="7" t="s">
        <v>1</v>
      </c>
      <c r="B4" s="12">
        <v>500</v>
      </c>
      <c r="C4" s="12">
        <v>0</v>
      </c>
      <c r="D4" s="12">
        <v>100</v>
      </c>
      <c r="E4" s="12">
        <v>0</v>
      </c>
      <c r="F4" s="12">
        <v>0</v>
      </c>
      <c r="G4" s="13">
        <v>0</v>
      </c>
      <c r="J4" s="7" t="s">
        <v>13</v>
      </c>
      <c r="K4" s="12">
        <v>0</v>
      </c>
      <c r="L4" s="12">
        <v>0</v>
      </c>
      <c r="M4" s="12">
        <v>150</v>
      </c>
      <c r="N4" s="12">
        <v>220</v>
      </c>
      <c r="O4" s="12">
        <v>215</v>
      </c>
      <c r="P4" s="12">
        <v>205</v>
      </c>
      <c r="Q4" s="12">
        <v>197</v>
      </c>
      <c r="R4" s="13">
        <v>100</v>
      </c>
    </row>
    <row r="5" spans="1:18" x14ac:dyDescent="0.3">
      <c r="A5" s="7" t="s">
        <v>2</v>
      </c>
      <c r="B5" s="12"/>
      <c r="C5" s="12">
        <v>250</v>
      </c>
      <c r="D5" s="12">
        <v>350</v>
      </c>
      <c r="E5" s="12">
        <v>450</v>
      </c>
      <c r="F5" s="12">
        <v>200</v>
      </c>
      <c r="G5" s="13">
        <v>-100</v>
      </c>
      <c r="J5" s="7" t="s">
        <v>14</v>
      </c>
      <c r="K5" s="12">
        <v>225</v>
      </c>
      <c r="L5" s="12">
        <v>190</v>
      </c>
      <c r="M5" s="12">
        <v>0</v>
      </c>
      <c r="N5" s="12">
        <v>30</v>
      </c>
      <c r="O5" s="12">
        <v>0</v>
      </c>
      <c r="P5" s="12">
        <v>30</v>
      </c>
      <c r="Q5" s="12">
        <v>0</v>
      </c>
      <c r="R5" s="13">
        <v>30</v>
      </c>
    </row>
    <row r="6" spans="1:18" x14ac:dyDescent="0.3">
      <c r="A6" s="7" t="s">
        <v>5</v>
      </c>
      <c r="B6" s="12">
        <f t="shared" ref="B6:G6" si="0">B5-B4</f>
        <v>-500</v>
      </c>
      <c r="C6" s="12">
        <f t="shared" si="0"/>
        <v>250</v>
      </c>
      <c r="D6" s="12">
        <f t="shared" si="0"/>
        <v>250</v>
      </c>
      <c r="E6" s="12">
        <f t="shared" si="0"/>
        <v>450</v>
      </c>
      <c r="F6" s="12">
        <f t="shared" si="0"/>
        <v>200</v>
      </c>
      <c r="G6" s="13">
        <f t="shared" si="0"/>
        <v>-100</v>
      </c>
      <c r="J6" s="7" t="s">
        <v>5</v>
      </c>
      <c r="K6" s="12">
        <f>K4-K5</f>
        <v>-225</v>
      </c>
      <c r="L6" s="12">
        <f t="shared" ref="L6:R6" si="1">L4-L5</f>
        <v>-190</v>
      </c>
      <c r="M6" s="12">
        <f t="shared" si="1"/>
        <v>150</v>
      </c>
      <c r="N6" s="12">
        <f t="shared" si="1"/>
        <v>190</v>
      </c>
      <c r="O6" s="12">
        <f t="shared" si="1"/>
        <v>215</v>
      </c>
      <c r="P6" s="12">
        <f t="shared" si="1"/>
        <v>175</v>
      </c>
      <c r="Q6" s="12">
        <f t="shared" si="1"/>
        <v>197</v>
      </c>
      <c r="R6" s="13">
        <f t="shared" si="1"/>
        <v>70</v>
      </c>
    </row>
    <row r="7" spans="1:18" x14ac:dyDescent="0.3">
      <c r="A7" s="7" t="s">
        <v>9</v>
      </c>
      <c r="B7" s="12">
        <f t="shared" ref="B7:G7" si="2">1/(1+$C$1)^B3</f>
        <v>1</v>
      </c>
      <c r="C7" s="12">
        <f t="shared" si="2"/>
        <v>0.85470085470085477</v>
      </c>
      <c r="D7" s="12">
        <f t="shared" si="2"/>
        <v>0.73051355102637161</v>
      </c>
      <c r="E7" s="12">
        <f t="shared" si="2"/>
        <v>0.62437055643279626</v>
      </c>
      <c r="F7" s="12">
        <f t="shared" si="2"/>
        <v>0.53365004823315931</v>
      </c>
      <c r="G7" s="13">
        <f t="shared" si="2"/>
        <v>0.45611115233603361</v>
      </c>
      <c r="J7" s="7" t="s">
        <v>9</v>
      </c>
      <c r="K7" s="12">
        <f t="shared" ref="K7:R7" si="3">1/(1+$L$1)^K3</f>
        <v>1</v>
      </c>
      <c r="L7" s="12">
        <f t="shared" si="3"/>
        <v>0.84745762711864414</v>
      </c>
      <c r="M7" s="12">
        <f t="shared" si="3"/>
        <v>0.71818442976156283</v>
      </c>
      <c r="N7" s="12">
        <f t="shared" si="3"/>
        <v>0.6086308726792905</v>
      </c>
      <c r="O7" s="12">
        <f t="shared" si="3"/>
        <v>0.51578887515194116</v>
      </c>
      <c r="P7" s="12">
        <f t="shared" si="3"/>
        <v>0.43710921623045873</v>
      </c>
      <c r="Q7" s="12">
        <f t="shared" si="3"/>
        <v>0.37043153917835481</v>
      </c>
      <c r="R7" s="13">
        <f t="shared" si="3"/>
        <v>0.31392503320199561</v>
      </c>
    </row>
    <row r="8" spans="1:18" x14ac:dyDescent="0.3">
      <c r="A8" s="7" t="s">
        <v>8</v>
      </c>
      <c r="B8" s="12">
        <f t="shared" ref="B8:G8" si="4">B5*B7</f>
        <v>0</v>
      </c>
      <c r="C8" s="12">
        <f t="shared" si="4"/>
        <v>213.67521367521368</v>
      </c>
      <c r="D8" s="12">
        <f t="shared" si="4"/>
        <v>255.67974285923006</v>
      </c>
      <c r="E8" s="12">
        <f t="shared" si="4"/>
        <v>280.96675039475832</v>
      </c>
      <c r="F8" s="12">
        <f t="shared" si="4"/>
        <v>106.73000964663186</v>
      </c>
      <c r="G8" s="13">
        <f t="shared" si="4"/>
        <v>-45.611115233603364</v>
      </c>
      <c r="J8" s="7" t="s">
        <v>8</v>
      </c>
      <c r="K8" s="12">
        <f>K4*K7</f>
        <v>0</v>
      </c>
      <c r="L8" s="12">
        <f t="shared" ref="L8:R8" si="5">L4*L7</f>
        <v>0</v>
      </c>
      <c r="M8" s="12">
        <f t="shared" si="5"/>
        <v>107.72766446423442</v>
      </c>
      <c r="N8" s="12">
        <f t="shared" si="5"/>
        <v>133.89879198944391</v>
      </c>
      <c r="O8" s="12">
        <f t="shared" si="5"/>
        <v>110.89460815766735</v>
      </c>
      <c r="P8" s="12">
        <f t="shared" si="5"/>
        <v>89.607389327244036</v>
      </c>
      <c r="Q8" s="12">
        <f t="shared" si="5"/>
        <v>72.975013218135899</v>
      </c>
      <c r="R8" s="13">
        <f t="shared" si="5"/>
        <v>31.392503320199559</v>
      </c>
    </row>
    <row r="9" spans="1:18" x14ac:dyDescent="0.3">
      <c r="A9" s="7" t="s">
        <v>7</v>
      </c>
      <c r="B9" s="12">
        <f t="shared" ref="B9:G9" si="6">B4*B7</f>
        <v>500</v>
      </c>
      <c r="C9" s="12">
        <f t="shared" si="6"/>
        <v>0</v>
      </c>
      <c r="D9" s="12">
        <f t="shared" si="6"/>
        <v>73.05135510263716</v>
      </c>
      <c r="E9" s="12">
        <f t="shared" si="6"/>
        <v>0</v>
      </c>
      <c r="F9" s="12">
        <f t="shared" si="6"/>
        <v>0</v>
      </c>
      <c r="G9" s="13">
        <f t="shared" si="6"/>
        <v>0</v>
      </c>
      <c r="J9" s="7" t="s">
        <v>7</v>
      </c>
      <c r="K9" s="12">
        <f>K5*K7</f>
        <v>225</v>
      </c>
      <c r="L9" s="12">
        <f t="shared" ref="L9:R9" si="7">L5*L7</f>
        <v>161.0169491525424</v>
      </c>
      <c r="M9" s="12">
        <f t="shared" si="7"/>
        <v>0</v>
      </c>
      <c r="N9" s="12">
        <f t="shared" si="7"/>
        <v>18.258926180378715</v>
      </c>
      <c r="O9" s="12">
        <f t="shared" si="7"/>
        <v>0</v>
      </c>
      <c r="P9" s="12">
        <f t="shared" si="7"/>
        <v>13.113276486913762</v>
      </c>
      <c r="Q9" s="12">
        <f t="shared" si="7"/>
        <v>0</v>
      </c>
      <c r="R9" s="13">
        <f t="shared" si="7"/>
        <v>9.4177509960598691</v>
      </c>
    </row>
    <row r="10" spans="1:18" x14ac:dyDescent="0.3">
      <c r="A10" s="14" t="s">
        <v>6</v>
      </c>
      <c r="B10" s="24">
        <f>SUM(B8:G8)-SUM(B9:G9)</f>
        <v>238.38924623959326</v>
      </c>
      <c r="C10" s="12"/>
      <c r="D10" s="12"/>
      <c r="E10" s="12"/>
      <c r="F10" s="12"/>
      <c r="G10" s="13"/>
      <c r="J10" s="14" t="s">
        <v>6</v>
      </c>
      <c r="K10" s="12">
        <f>SUM(K8:R8)-SUM(K9:R9)</f>
        <v>119.68906766103049</v>
      </c>
      <c r="L10" s="12"/>
      <c r="M10" s="12"/>
      <c r="N10" s="12"/>
      <c r="O10" s="12"/>
      <c r="P10" s="12"/>
      <c r="Q10" s="12"/>
      <c r="R10" s="13"/>
    </row>
    <row r="11" spans="1:18" x14ac:dyDescent="0.3">
      <c r="A11" s="14" t="s">
        <v>10</v>
      </c>
      <c r="B11" s="12">
        <f>SUM(B8:G8)/SUM(B9:G9)</f>
        <v>1.4159997949867795</v>
      </c>
      <c r="C11" s="12"/>
      <c r="D11" s="12"/>
      <c r="E11" s="12"/>
      <c r="F11" s="12"/>
      <c r="G11" s="13"/>
      <c r="J11" s="14" t="s">
        <v>10</v>
      </c>
      <c r="K11" s="12">
        <f>SUM(K8:R8)/SUM(K9:R9)</f>
        <v>1.280429081327813</v>
      </c>
      <c r="L11" s="12"/>
      <c r="M11" s="12"/>
      <c r="N11" s="12"/>
      <c r="O11" s="12"/>
      <c r="P11" s="12"/>
      <c r="Q11" s="12"/>
      <c r="R11" s="13"/>
    </row>
    <row r="12" spans="1:18" x14ac:dyDescent="0.3">
      <c r="A12" s="15"/>
      <c r="B12" s="10"/>
      <c r="C12" s="10"/>
      <c r="D12" s="10"/>
      <c r="E12" s="10"/>
      <c r="F12" s="10"/>
      <c r="G12" s="11"/>
      <c r="J12" s="15"/>
      <c r="K12" s="10"/>
      <c r="L12" s="10"/>
      <c r="M12" s="10"/>
      <c r="N12" s="10"/>
      <c r="O12" s="10"/>
      <c r="P12" s="10"/>
      <c r="Q12" s="10"/>
      <c r="R12" s="11"/>
    </row>
    <row r="13" spans="1:18" x14ac:dyDescent="0.3">
      <c r="A13" s="54" t="s">
        <v>31</v>
      </c>
      <c r="B13" s="49"/>
      <c r="C13" s="49"/>
      <c r="D13" s="49"/>
      <c r="E13" s="49"/>
      <c r="F13" s="49"/>
      <c r="G13" s="50"/>
      <c r="J13" s="48" t="s">
        <v>41</v>
      </c>
      <c r="K13" s="49"/>
      <c r="L13" s="49"/>
      <c r="M13" s="49"/>
      <c r="N13" s="49"/>
      <c r="O13" s="49"/>
      <c r="P13" s="49"/>
      <c r="Q13" s="49"/>
      <c r="R13" s="50"/>
    </row>
    <row r="14" spans="1:18" x14ac:dyDescent="0.3">
      <c r="A14" s="7" t="s">
        <v>0</v>
      </c>
      <c r="B14" s="8">
        <v>0</v>
      </c>
      <c r="C14" s="8">
        <v>1</v>
      </c>
      <c r="D14" s="8">
        <v>2</v>
      </c>
      <c r="E14" s="8">
        <v>3</v>
      </c>
      <c r="F14" s="8">
        <v>4</v>
      </c>
      <c r="G14" s="9">
        <v>5</v>
      </c>
      <c r="J14" s="7" t="s">
        <v>0</v>
      </c>
      <c r="K14" s="12">
        <v>0</v>
      </c>
      <c r="L14" s="12">
        <v>1</v>
      </c>
      <c r="M14" s="12">
        <v>2</v>
      </c>
      <c r="N14" s="12">
        <v>3</v>
      </c>
      <c r="O14" s="12">
        <v>4</v>
      </c>
      <c r="P14" s="12">
        <v>5</v>
      </c>
      <c r="Q14" s="12">
        <v>6</v>
      </c>
      <c r="R14" s="13">
        <v>7</v>
      </c>
    </row>
    <row r="15" spans="1:18" x14ac:dyDescent="0.3">
      <c r="A15" s="7" t="s">
        <v>1</v>
      </c>
      <c r="B15" s="12">
        <v>100</v>
      </c>
      <c r="C15" s="12">
        <v>0</v>
      </c>
      <c r="D15" s="12">
        <v>50</v>
      </c>
      <c r="E15" s="12">
        <v>0</v>
      </c>
      <c r="F15" s="12">
        <v>0</v>
      </c>
      <c r="G15" s="13">
        <v>0</v>
      </c>
      <c r="J15" s="7" t="s">
        <v>13</v>
      </c>
      <c r="K15" s="12">
        <v>0</v>
      </c>
      <c r="L15" s="12">
        <v>50</v>
      </c>
      <c r="M15" s="12">
        <v>150</v>
      </c>
      <c r="N15" s="12">
        <v>250</v>
      </c>
      <c r="O15" s="12">
        <v>250</v>
      </c>
      <c r="P15" s="12">
        <v>200</v>
      </c>
      <c r="Q15" s="12">
        <v>180</v>
      </c>
      <c r="R15" s="13">
        <v>120</v>
      </c>
    </row>
    <row r="16" spans="1:18" x14ac:dyDescent="0.3">
      <c r="A16" s="7" t="s">
        <v>2</v>
      </c>
      <c r="B16" s="12"/>
      <c r="C16" s="12">
        <v>-100</v>
      </c>
      <c r="D16" s="12">
        <v>200</v>
      </c>
      <c r="E16" s="12">
        <v>200</v>
      </c>
      <c r="F16" s="12">
        <v>200</v>
      </c>
      <c r="G16" s="13">
        <v>300</v>
      </c>
      <c r="J16" s="7" t="s">
        <v>14</v>
      </c>
      <c r="K16" s="12">
        <v>300</v>
      </c>
      <c r="L16" s="12">
        <v>100</v>
      </c>
      <c r="M16" s="12">
        <v>0</v>
      </c>
      <c r="N16" s="12">
        <v>50</v>
      </c>
      <c r="O16" s="12">
        <v>0</v>
      </c>
      <c r="P16" s="12">
        <v>50</v>
      </c>
      <c r="Q16" s="12">
        <v>0</v>
      </c>
      <c r="R16" s="13">
        <v>50</v>
      </c>
    </row>
    <row r="17" spans="1:18" x14ac:dyDescent="0.3">
      <c r="A17" s="7" t="s">
        <v>5</v>
      </c>
      <c r="B17" s="12">
        <f t="shared" ref="B17:G17" si="8">B16-B15</f>
        <v>-100</v>
      </c>
      <c r="C17" s="12">
        <f t="shared" si="8"/>
        <v>-100</v>
      </c>
      <c r="D17" s="12">
        <f t="shared" si="8"/>
        <v>150</v>
      </c>
      <c r="E17" s="12">
        <f t="shared" si="8"/>
        <v>200</v>
      </c>
      <c r="F17" s="12">
        <f t="shared" si="8"/>
        <v>200</v>
      </c>
      <c r="G17" s="13">
        <f t="shared" si="8"/>
        <v>300</v>
      </c>
      <c r="J17" s="7" t="s">
        <v>5</v>
      </c>
      <c r="K17" s="12">
        <f>K15-K16</f>
        <v>-300</v>
      </c>
      <c r="L17" s="12">
        <f t="shared" ref="L17:R17" si="9">L15-L16</f>
        <v>-50</v>
      </c>
      <c r="M17" s="12">
        <f t="shared" si="9"/>
        <v>150</v>
      </c>
      <c r="N17" s="12">
        <f t="shared" si="9"/>
        <v>200</v>
      </c>
      <c r="O17" s="12">
        <f t="shared" si="9"/>
        <v>250</v>
      </c>
      <c r="P17" s="12">
        <f t="shared" si="9"/>
        <v>150</v>
      </c>
      <c r="Q17" s="12">
        <f t="shared" si="9"/>
        <v>180</v>
      </c>
      <c r="R17" s="13">
        <f t="shared" si="9"/>
        <v>70</v>
      </c>
    </row>
    <row r="18" spans="1:18" x14ac:dyDescent="0.3">
      <c r="A18" s="7" t="s">
        <v>9</v>
      </c>
      <c r="B18" s="12">
        <f t="shared" ref="B18:G18" si="10">1/(1+$C$1)^B14</f>
        <v>1</v>
      </c>
      <c r="C18" s="12">
        <f t="shared" si="10"/>
        <v>0.85470085470085477</v>
      </c>
      <c r="D18" s="12">
        <f t="shared" si="10"/>
        <v>0.73051355102637161</v>
      </c>
      <c r="E18" s="12">
        <f t="shared" si="10"/>
        <v>0.62437055643279626</v>
      </c>
      <c r="F18" s="12">
        <f t="shared" si="10"/>
        <v>0.53365004823315931</v>
      </c>
      <c r="G18" s="13">
        <f t="shared" si="10"/>
        <v>0.45611115233603361</v>
      </c>
      <c r="J18" s="7" t="s">
        <v>9</v>
      </c>
      <c r="K18" s="12">
        <f t="shared" ref="K18:R18" si="11">1/(1+$L$1)^K14</f>
        <v>1</v>
      </c>
      <c r="L18" s="12">
        <f t="shared" si="11"/>
        <v>0.84745762711864414</v>
      </c>
      <c r="M18" s="12">
        <f t="shared" si="11"/>
        <v>0.71818442976156283</v>
      </c>
      <c r="N18" s="12">
        <f t="shared" si="11"/>
        <v>0.6086308726792905</v>
      </c>
      <c r="O18" s="12">
        <f t="shared" si="11"/>
        <v>0.51578887515194116</v>
      </c>
      <c r="P18" s="12">
        <f t="shared" si="11"/>
        <v>0.43710921623045873</v>
      </c>
      <c r="Q18" s="12">
        <f t="shared" si="11"/>
        <v>0.37043153917835481</v>
      </c>
      <c r="R18" s="13">
        <f t="shared" si="11"/>
        <v>0.31392503320199561</v>
      </c>
    </row>
    <row r="19" spans="1:18" x14ac:dyDescent="0.3">
      <c r="A19" s="7" t="s">
        <v>8</v>
      </c>
      <c r="B19" s="12">
        <f>B17*B18</f>
        <v>-100</v>
      </c>
      <c r="C19" s="12">
        <f t="shared" ref="C19:G19" si="12">C17*C18</f>
        <v>-85.470085470085479</v>
      </c>
      <c r="D19" s="12">
        <f t="shared" si="12"/>
        <v>109.57703265395574</v>
      </c>
      <c r="E19" s="12">
        <f t="shared" si="12"/>
        <v>124.87411128655926</v>
      </c>
      <c r="F19" s="12">
        <f t="shared" si="12"/>
        <v>106.73000964663186</v>
      </c>
      <c r="G19" s="13">
        <f t="shared" si="12"/>
        <v>136.83334570081007</v>
      </c>
      <c r="J19" s="7" t="s">
        <v>8</v>
      </c>
      <c r="K19" s="12">
        <f>K15*K18</f>
        <v>0</v>
      </c>
      <c r="L19" s="12">
        <f t="shared" ref="L19:R19" si="13">L15*L18</f>
        <v>42.372881355932208</v>
      </c>
      <c r="M19" s="12">
        <f t="shared" si="13"/>
        <v>107.72766446423442</v>
      </c>
      <c r="N19" s="12">
        <f t="shared" si="13"/>
        <v>152.15771816982263</v>
      </c>
      <c r="O19" s="12">
        <f t="shared" si="13"/>
        <v>128.94721878798529</v>
      </c>
      <c r="P19" s="12">
        <f t="shared" si="13"/>
        <v>87.42184324609174</v>
      </c>
      <c r="Q19" s="12">
        <f t="shared" si="13"/>
        <v>66.67767705210386</v>
      </c>
      <c r="R19" s="13">
        <f t="shared" si="13"/>
        <v>37.671003984239476</v>
      </c>
    </row>
    <row r="20" spans="1:18" x14ac:dyDescent="0.3">
      <c r="A20" s="7" t="s">
        <v>7</v>
      </c>
      <c r="B20" s="12">
        <f t="shared" ref="B20:G20" si="14">B15*B18</f>
        <v>100</v>
      </c>
      <c r="C20" s="12">
        <f t="shared" si="14"/>
        <v>0</v>
      </c>
      <c r="D20" s="12">
        <f t="shared" si="14"/>
        <v>36.52567755131858</v>
      </c>
      <c r="E20" s="12">
        <f t="shared" si="14"/>
        <v>0</v>
      </c>
      <c r="F20" s="12">
        <f t="shared" si="14"/>
        <v>0</v>
      </c>
      <c r="G20" s="13">
        <f t="shared" si="14"/>
        <v>0</v>
      </c>
      <c r="J20" s="7" t="s">
        <v>7</v>
      </c>
      <c r="K20" s="12">
        <f>K16*K18</f>
        <v>300</v>
      </c>
      <c r="L20" s="12">
        <f t="shared" ref="L20:R20" si="15">L16*L18</f>
        <v>84.745762711864415</v>
      </c>
      <c r="M20" s="12">
        <f t="shared" si="15"/>
        <v>0</v>
      </c>
      <c r="N20" s="12">
        <f t="shared" si="15"/>
        <v>30.431543633964527</v>
      </c>
      <c r="O20" s="12">
        <f t="shared" si="15"/>
        <v>0</v>
      </c>
      <c r="P20" s="12">
        <f t="shared" si="15"/>
        <v>21.855460811522935</v>
      </c>
      <c r="Q20" s="12">
        <f t="shared" si="15"/>
        <v>0</v>
      </c>
      <c r="R20" s="13">
        <f t="shared" si="15"/>
        <v>15.696251660099779</v>
      </c>
    </row>
    <row r="21" spans="1:18" x14ac:dyDescent="0.3">
      <c r="A21" s="14" t="s">
        <v>6</v>
      </c>
      <c r="B21" s="24">
        <f>SUM(B19:G19)-SUM(B20:G20)</f>
        <v>156.01873626655285</v>
      </c>
      <c r="C21" s="12"/>
      <c r="D21" s="12"/>
      <c r="E21" s="12"/>
      <c r="F21" s="12"/>
      <c r="G21" s="13"/>
      <c r="J21" s="14" t="s">
        <v>6</v>
      </c>
      <c r="K21" s="12">
        <f>SUM(K19:R19)-SUM(K20:R20)</f>
        <v>170.24698824295797</v>
      </c>
      <c r="L21" s="12"/>
      <c r="M21" s="12"/>
      <c r="N21" s="12"/>
      <c r="O21" s="12"/>
      <c r="P21" s="12"/>
      <c r="Q21" s="12"/>
      <c r="R21" s="13"/>
    </row>
    <row r="22" spans="1:18" x14ac:dyDescent="0.3">
      <c r="A22" s="14" t="s">
        <v>10</v>
      </c>
      <c r="B22" s="24">
        <f>SUM(B19:G19)/SUM(B20:G20)</f>
        <v>2.1427794321541236</v>
      </c>
      <c r="C22" s="12"/>
      <c r="D22" s="12"/>
      <c r="E22" s="12"/>
      <c r="F22" s="12"/>
      <c r="G22" s="13"/>
      <c r="J22" s="14" t="s">
        <v>10</v>
      </c>
      <c r="K22" s="12">
        <f>SUM(K19:R19)/SUM(K20:R20)</f>
        <v>1.3760461140477602</v>
      </c>
      <c r="L22" s="12"/>
      <c r="M22" s="12"/>
      <c r="N22" s="12"/>
      <c r="O22" s="12"/>
      <c r="P22" s="12"/>
      <c r="Q22" s="12"/>
      <c r="R22" s="13"/>
    </row>
    <row r="23" spans="1:18" ht="16.2" thickBot="1" x14ac:dyDescent="0.35">
      <c r="A23" s="16" t="s">
        <v>11</v>
      </c>
      <c r="B23" s="17"/>
      <c r="C23" s="17"/>
      <c r="D23" s="17"/>
      <c r="E23" s="17"/>
      <c r="F23" s="17"/>
      <c r="G23" s="18"/>
      <c r="J23" s="1" t="s">
        <v>16</v>
      </c>
      <c r="K23" s="21"/>
      <c r="L23" s="21"/>
      <c r="M23" s="21"/>
      <c r="N23" s="21"/>
      <c r="O23" s="21"/>
      <c r="P23" s="21"/>
      <c r="Q23" s="17"/>
      <c r="R23" s="18"/>
    </row>
    <row r="24" spans="1:18" ht="16.2" thickBot="1" x14ac:dyDescent="0.35"/>
    <row r="25" spans="1:18" x14ac:dyDescent="0.3">
      <c r="A25" s="28" t="s">
        <v>17</v>
      </c>
      <c r="B25" s="4"/>
      <c r="C25" s="4"/>
      <c r="D25" s="4"/>
      <c r="E25" s="4"/>
      <c r="F25" s="4"/>
      <c r="G25" s="4"/>
      <c r="H25" s="5"/>
      <c r="I25" s="10"/>
      <c r="J25" s="29" t="s">
        <v>25</v>
      </c>
      <c r="K25" s="4"/>
      <c r="L25" s="4"/>
      <c r="M25" s="4"/>
      <c r="N25" s="4"/>
      <c r="O25" s="4"/>
      <c r="P25" s="4"/>
      <c r="Q25" s="4"/>
      <c r="R25" s="5"/>
    </row>
    <row r="26" spans="1:18" x14ac:dyDescent="0.3">
      <c r="A26" s="7" t="s">
        <v>18</v>
      </c>
      <c r="B26" s="57" t="s">
        <v>19</v>
      </c>
      <c r="C26" s="57"/>
      <c r="D26" s="57" t="s">
        <v>20</v>
      </c>
      <c r="E26" s="57"/>
      <c r="F26" s="57"/>
      <c r="G26" s="57" t="s">
        <v>21</v>
      </c>
      <c r="H26" s="58"/>
      <c r="I26" s="10"/>
      <c r="J26" s="22" t="s">
        <v>26</v>
      </c>
      <c r="K26" s="12">
        <v>5000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3">
        <v>0</v>
      </c>
    </row>
    <row r="27" spans="1:18" x14ac:dyDescent="0.3">
      <c r="A27" s="7" t="s">
        <v>22</v>
      </c>
      <c r="B27" s="59">
        <v>150000</v>
      </c>
      <c r="C27" s="59"/>
      <c r="D27" s="59">
        <v>40000</v>
      </c>
      <c r="E27" s="59"/>
      <c r="F27" s="59"/>
      <c r="G27" s="59">
        <f>B27/D27</f>
        <v>3.75</v>
      </c>
      <c r="H27" s="60"/>
      <c r="I27" s="10"/>
      <c r="J27" s="22" t="s">
        <v>27</v>
      </c>
      <c r="K27" s="12">
        <v>1000</v>
      </c>
      <c r="L27" s="12">
        <v>1000</v>
      </c>
      <c r="M27" s="12">
        <v>1000</v>
      </c>
      <c r="N27" s="12">
        <v>1000</v>
      </c>
      <c r="O27" s="12">
        <v>1000</v>
      </c>
      <c r="P27" s="12">
        <v>1000</v>
      </c>
      <c r="Q27" s="12">
        <v>1000</v>
      </c>
      <c r="R27" s="13">
        <v>1000</v>
      </c>
    </row>
    <row r="28" spans="1:18" x14ac:dyDescent="0.3">
      <c r="A28" s="7" t="s">
        <v>23</v>
      </c>
      <c r="B28" s="59">
        <v>200000</v>
      </c>
      <c r="C28" s="59"/>
      <c r="D28" s="59">
        <v>50000</v>
      </c>
      <c r="E28" s="59"/>
      <c r="F28" s="59"/>
      <c r="G28" s="59">
        <f>B28/D28</f>
        <v>4</v>
      </c>
      <c r="H28" s="60"/>
      <c r="I28" s="66"/>
      <c r="J28" s="22" t="s">
        <v>28</v>
      </c>
      <c r="K28" s="25">
        <v>0.1</v>
      </c>
      <c r="L28" s="12"/>
      <c r="M28" s="12"/>
      <c r="N28" s="12"/>
      <c r="O28" s="12"/>
      <c r="P28" s="12"/>
      <c r="Q28" s="12"/>
      <c r="R28" s="13"/>
    </row>
    <row r="29" spans="1:18" ht="16.2" thickBot="1" x14ac:dyDescent="0.35">
      <c r="A29" s="69" t="s">
        <v>24</v>
      </c>
      <c r="B29" s="70"/>
      <c r="C29" s="70"/>
      <c r="D29" s="70"/>
      <c r="E29" s="70"/>
      <c r="F29" s="70"/>
      <c r="G29" s="70"/>
      <c r="H29" s="68"/>
      <c r="I29" s="67"/>
      <c r="J29" s="22" t="s">
        <v>32</v>
      </c>
      <c r="K29" s="12">
        <v>1</v>
      </c>
      <c r="L29" s="12">
        <v>2</v>
      </c>
      <c r="M29" s="12">
        <v>3</v>
      </c>
      <c r="N29" s="12">
        <v>4</v>
      </c>
      <c r="O29" s="12">
        <v>5</v>
      </c>
      <c r="P29" s="12">
        <v>6</v>
      </c>
      <c r="Q29" s="12">
        <v>7</v>
      </c>
      <c r="R29" s="13">
        <v>8</v>
      </c>
    </row>
    <row r="30" spans="1:18" ht="16.2" thickBot="1" x14ac:dyDescent="0.35">
      <c r="H30" s="10"/>
      <c r="J30" s="7" t="s">
        <v>33</v>
      </c>
      <c r="K30" s="12">
        <f>K27/(1+$K$28)^K29</f>
        <v>909.09090909090901</v>
      </c>
      <c r="L30" s="12">
        <f t="shared" ref="L30:R30" si="16">L27/(1+$K$28)^L29</f>
        <v>826.44628099173542</v>
      </c>
      <c r="M30" s="12">
        <f t="shared" si="16"/>
        <v>751.31480090157754</v>
      </c>
      <c r="N30" s="12">
        <f t="shared" si="16"/>
        <v>683.01345536507051</v>
      </c>
      <c r="O30" s="12">
        <f t="shared" si="16"/>
        <v>620.92132305915493</v>
      </c>
      <c r="P30" s="12">
        <f t="shared" si="16"/>
        <v>564.47393005377717</v>
      </c>
      <c r="Q30" s="12">
        <f t="shared" si="16"/>
        <v>513.15811823070646</v>
      </c>
      <c r="R30" s="13">
        <f t="shared" si="16"/>
        <v>466.50738020973318</v>
      </c>
    </row>
    <row r="31" spans="1:18" x14ac:dyDescent="0.3">
      <c r="A31" s="31" t="s">
        <v>35</v>
      </c>
      <c r="B31" s="30"/>
      <c r="C31" s="30"/>
      <c r="D31" s="30"/>
      <c r="E31" s="30"/>
      <c r="F31" s="30"/>
      <c r="G31" s="30"/>
      <c r="H31" s="65"/>
      <c r="J31" s="15" t="s">
        <v>34</v>
      </c>
      <c r="K31" s="12">
        <f>K30</f>
        <v>909.09090909090901</v>
      </c>
      <c r="L31" s="12">
        <f>K30+L30</f>
        <v>1735.5371900826444</v>
      </c>
      <c r="M31" s="12">
        <f>L31+M30</f>
        <v>2486.8519909842221</v>
      </c>
      <c r="N31" s="12">
        <f t="shared" ref="N31:R31" si="17">M31+N30</f>
        <v>3169.8654463492926</v>
      </c>
      <c r="O31" s="12">
        <f t="shared" si="17"/>
        <v>3790.7867694084475</v>
      </c>
      <c r="P31" s="12">
        <f t="shared" si="17"/>
        <v>4355.2606994622247</v>
      </c>
      <c r="Q31" s="12">
        <f t="shared" si="17"/>
        <v>4868.418817692931</v>
      </c>
      <c r="R31" s="13">
        <f t="shared" si="17"/>
        <v>5334.9261979026642</v>
      </c>
    </row>
    <row r="32" spans="1:18" ht="16.2" thickBot="1" x14ac:dyDescent="0.35">
      <c r="A32" s="7" t="s">
        <v>0</v>
      </c>
      <c r="B32" s="12">
        <v>0</v>
      </c>
      <c r="C32" s="12">
        <v>1</v>
      </c>
      <c r="D32" s="12">
        <v>2</v>
      </c>
      <c r="E32" s="12">
        <v>3</v>
      </c>
      <c r="F32" s="12">
        <v>4</v>
      </c>
      <c r="G32" s="43">
        <v>5</v>
      </c>
      <c r="H32" s="10"/>
      <c r="J32" s="16" t="s">
        <v>67</v>
      </c>
      <c r="K32" s="47"/>
      <c r="L32" s="17"/>
      <c r="M32" s="17"/>
      <c r="N32" s="17"/>
      <c r="O32" s="17"/>
      <c r="P32" s="17"/>
      <c r="Q32" s="17"/>
      <c r="R32" s="18"/>
    </row>
    <row r="33" spans="1:22" ht="16.2" thickBot="1" x14ac:dyDescent="0.35">
      <c r="A33" s="7" t="s">
        <v>1</v>
      </c>
      <c r="B33" s="12">
        <v>100</v>
      </c>
      <c r="C33" s="12">
        <v>0</v>
      </c>
      <c r="D33" s="12">
        <v>0</v>
      </c>
      <c r="E33" s="12">
        <v>0</v>
      </c>
      <c r="F33" s="12">
        <v>0</v>
      </c>
      <c r="G33" s="13">
        <v>0</v>
      </c>
    </row>
    <row r="34" spans="1:22" x14ac:dyDescent="0.3">
      <c r="A34" s="7" t="s">
        <v>2</v>
      </c>
      <c r="B34" s="12"/>
      <c r="C34" s="12">
        <v>30</v>
      </c>
      <c r="D34" s="12">
        <v>30</v>
      </c>
      <c r="E34" s="12">
        <v>30</v>
      </c>
      <c r="F34" s="12">
        <v>40</v>
      </c>
      <c r="G34" s="13">
        <v>40</v>
      </c>
      <c r="J34" s="28" t="s">
        <v>38</v>
      </c>
      <c r="K34" s="4"/>
      <c r="L34" s="5"/>
      <c r="M34" s="26"/>
    </row>
    <row r="35" spans="1:22" x14ac:dyDescent="0.3">
      <c r="A35" s="7" t="s">
        <v>28</v>
      </c>
      <c r="B35" s="25">
        <v>0.18</v>
      </c>
      <c r="C35" s="12"/>
      <c r="D35" s="12"/>
      <c r="E35" s="12"/>
      <c r="F35" s="12"/>
      <c r="G35" s="13"/>
      <c r="J35" s="7" t="s">
        <v>39</v>
      </c>
      <c r="K35" s="12">
        <v>1</v>
      </c>
      <c r="L35" s="13">
        <v>2</v>
      </c>
    </row>
    <row r="36" spans="1:22" x14ac:dyDescent="0.3">
      <c r="A36" s="7" t="s">
        <v>5</v>
      </c>
      <c r="B36" s="12">
        <f>B34-B33</f>
        <v>-100</v>
      </c>
      <c r="C36" s="12">
        <f t="shared" ref="C36:G36" si="18">C34-C33</f>
        <v>30</v>
      </c>
      <c r="D36" s="12">
        <f t="shared" si="18"/>
        <v>30</v>
      </c>
      <c r="E36" s="12">
        <f t="shared" si="18"/>
        <v>30</v>
      </c>
      <c r="F36" s="12">
        <f t="shared" si="18"/>
        <v>40</v>
      </c>
      <c r="G36" s="13">
        <f t="shared" si="18"/>
        <v>40</v>
      </c>
      <c r="J36" s="7" t="s">
        <v>0</v>
      </c>
      <c r="K36" s="12">
        <v>2</v>
      </c>
      <c r="L36" s="13">
        <v>5</v>
      </c>
    </row>
    <row r="37" spans="1:22" x14ac:dyDescent="0.3">
      <c r="A37" s="15" t="s">
        <v>36</v>
      </c>
      <c r="B37" s="12">
        <f>B36/(1+$B$35)^B32</f>
        <v>-100</v>
      </c>
      <c r="C37" s="12">
        <f t="shared" ref="C37:F37" si="19">C36/(1+$B$35)^C32</f>
        <v>25.423728813559322</v>
      </c>
      <c r="D37" s="12">
        <f t="shared" si="19"/>
        <v>21.545532892846886</v>
      </c>
      <c r="E37" s="12">
        <f t="shared" si="19"/>
        <v>18.258926180378715</v>
      </c>
      <c r="F37" s="12">
        <f t="shared" si="19"/>
        <v>20.631555006077647</v>
      </c>
      <c r="G37" s="13">
        <f>G36/(1+$B$35)^G32</f>
        <v>17.48436864921835</v>
      </c>
      <c r="J37" s="7" t="s">
        <v>40</v>
      </c>
      <c r="K37" s="12">
        <v>100</v>
      </c>
      <c r="L37" s="13">
        <v>300</v>
      </c>
    </row>
    <row r="38" spans="1:22" x14ac:dyDescent="0.3">
      <c r="A38" s="15" t="s">
        <v>34</v>
      </c>
      <c r="B38" s="12">
        <f>B37</f>
        <v>-100</v>
      </c>
      <c r="C38" s="12">
        <f>B38+C37</f>
        <v>-74.576271186440678</v>
      </c>
      <c r="D38" s="12">
        <f>C38+D37</f>
        <v>-53.030738293593792</v>
      </c>
      <c r="E38" s="12">
        <f t="shared" ref="E38:G38" si="20">D38+E37</f>
        <v>-34.771812113215077</v>
      </c>
      <c r="F38" s="12">
        <f t="shared" si="20"/>
        <v>-14.14025710713743</v>
      </c>
      <c r="G38" s="13">
        <f t="shared" si="20"/>
        <v>3.3441115420809204</v>
      </c>
      <c r="J38" s="7" t="s">
        <v>28</v>
      </c>
      <c r="K38" s="25">
        <v>0.17</v>
      </c>
      <c r="L38" s="13"/>
    </row>
    <row r="39" spans="1:22" ht="16.2" thickBot="1" x14ac:dyDescent="0.35">
      <c r="A39" s="1" t="s">
        <v>37</v>
      </c>
      <c r="B39" s="20"/>
      <c r="C39" s="20"/>
      <c r="D39" s="20"/>
      <c r="E39" s="20"/>
      <c r="F39" s="20"/>
      <c r="G39" s="27"/>
      <c r="J39" s="7" t="s">
        <v>43</v>
      </c>
      <c r="K39" s="12">
        <f>K37*(1+$K$38)^(3-K36)</f>
        <v>117</v>
      </c>
      <c r="L39" s="13">
        <f>L37*(1+$K$38)^(3-L36)</f>
        <v>219.15406530791148</v>
      </c>
    </row>
    <row r="40" spans="1:22" ht="16.2" thickBot="1" x14ac:dyDescent="0.35">
      <c r="J40" s="16" t="s">
        <v>44</v>
      </c>
      <c r="K40" s="46">
        <f>K39+L39</f>
        <v>336.15406530791148</v>
      </c>
      <c r="L40" s="34"/>
    </row>
    <row r="41" spans="1:22" ht="16.2" thickBot="1" x14ac:dyDescent="0.35">
      <c r="A41" s="28" t="s">
        <v>45</v>
      </c>
      <c r="B41" s="4"/>
      <c r="C41" s="4"/>
      <c r="D41" s="4"/>
      <c r="E41" s="4"/>
      <c r="F41" s="4"/>
      <c r="G41" s="4"/>
      <c r="H41" s="5"/>
    </row>
    <row r="42" spans="1:22" x14ac:dyDescent="0.3">
      <c r="A42" s="39" t="s">
        <v>46</v>
      </c>
      <c r="B42" s="40" t="s">
        <v>47</v>
      </c>
      <c r="C42" s="40" t="s">
        <v>48</v>
      </c>
      <c r="D42" s="40" t="s">
        <v>49</v>
      </c>
      <c r="E42" s="40" t="s">
        <v>50</v>
      </c>
      <c r="F42" s="40" t="s">
        <v>51</v>
      </c>
      <c r="G42" s="40" t="s">
        <v>52</v>
      </c>
      <c r="H42" s="41" t="s">
        <v>53</v>
      </c>
      <c r="J42" s="28" t="s">
        <v>61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</row>
    <row r="43" spans="1:22" x14ac:dyDescent="0.3">
      <c r="A43" s="7" t="s">
        <v>54</v>
      </c>
      <c r="B43" s="12">
        <v>5</v>
      </c>
      <c r="C43" s="12">
        <v>5</v>
      </c>
      <c r="D43" s="12">
        <v>4</v>
      </c>
      <c r="E43" s="12">
        <v>3</v>
      </c>
      <c r="F43" s="12">
        <v>1</v>
      </c>
      <c r="G43" s="12">
        <v>3</v>
      </c>
      <c r="H43" s="13"/>
      <c r="J43" s="7" t="s">
        <v>62</v>
      </c>
      <c r="K43" s="19">
        <v>1</v>
      </c>
      <c r="L43" s="19">
        <v>2</v>
      </c>
      <c r="M43" s="19">
        <v>3</v>
      </c>
      <c r="N43" s="19">
        <v>4</v>
      </c>
      <c r="O43" s="19">
        <v>5</v>
      </c>
      <c r="P43" s="19">
        <v>6</v>
      </c>
      <c r="Q43" s="19">
        <v>7</v>
      </c>
      <c r="R43" s="19">
        <v>8</v>
      </c>
      <c r="S43" s="19">
        <v>9</v>
      </c>
      <c r="T43" s="19">
        <v>10</v>
      </c>
      <c r="U43" s="19">
        <v>11</v>
      </c>
      <c r="V43" s="23">
        <v>12</v>
      </c>
    </row>
    <row r="44" spans="1:22" x14ac:dyDescent="0.3">
      <c r="A44" s="7" t="s">
        <v>3</v>
      </c>
      <c r="B44" s="12">
        <v>9</v>
      </c>
      <c r="C44" s="12">
        <v>5</v>
      </c>
      <c r="D44" s="12">
        <v>2</v>
      </c>
      <c r="E44" s="12">
        <v>0</v>
      </c>
      <c r="F44" s="12">
        <v>2</v>
      </c>
      <c r="G44" s="12">
        <v>5</v>
      </c>
      <c r="H44" s="13">
        <f>SUMPRODUCT($B$43:$G$43,B43:G43)</f>
        <v>85</v>
      </c>
      <c r="J44" s="7" t="s">
        <v>63</v>
      </c>
      <c r="K44" s="19">
        <v>25</v>
      </c>
      <c r="L44" s="19">
        <v>25</v>
      </c>
      <c r="M44" s="19">
        <v>25</v>
      </c>
      <c r="N44" s="19">
        <v>25</v>
      </c>
      <c r="O44" s="19">
        <v>25</v>
      </c>
      <c r="P44" s="19">
        <v>25</v>
      </c>
      <c r="Q44" s="19">
        <v>25</v>
      </c>
      <c r="R44" s="19">
        <v>25</v>
      </c>
      <c r="S44" s="19">
        <v>25</v>
      </c>
      <c r="T44" s="19">
        <v>25</v>
      </c>
      <c r="U44" s="19">
        <v>25</v>
      </c>
      <c r="V44" s="23">
        <v>25</v>
      </c>
    </row>
    <row r="45" spans="1:22" x14ac:dyDescent="0.3">
      <c r="A45" s="7" t="s">
        <v>4</v>
      </c>
      <c r="B45" s="12">
        <v>2</v>
      </c>
      <c r="C45" s="12">
        <v>6</v>
      </c>
      <c r="D45" s="12">
        <v>2</v>
      </c>
      <c r="E45" s="12">
        <v>0</v>
      </c>
      <c r="F45" s="12">
        <v>5</v>
      </c>
      <c r="G45" s="12">
        <v>1</v>
      </c>
      <c r="H45" s="13">
        <f t="shared" ref="H45:H48" si="21">SUMPRODUCT($B$43:$G$43,B44:G44)</f>
        <v>95</v>
      </c>
      <c r="J45" s="7" t="s">
        <v>28</v>
      </c>
      <c r="K45" s="25">
        <v>1.4999999999999999E-2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3"/>
    </row>
    <row r="46" spans="1:22" x14ac:dyDescent="0.3">
      <c r="A46" s="7" t="s">
        <v>55</v>
      </c>
      <c r="B46" s="12">
        <v>6</v>
      </c>
      <c r="C46" s="12">
        <v>8</v>
      </c>
      <c r="D46" s="12">
        <v>2</v>
      </c>
      <c r="E46" s="12">
        <v>2</v>
      </c>
      <c r="F46" s="12">
        <v>6</v>
      </c>
      <c r="G46" s="12"/>
      <c r="H46" s="13">
        <f t="shared" si="21"/>
        <v>56</v>
      </c>
      <c r="J46" s="7" t="s">
        <v>9</v>
      </c>
      <c r="K46" s="19">
        <f>1/(1+$K$45)^K43</f>
        <v>0.98522167487684742</v>
      </c>
      <c r="L46" s="19">
        <f>1/(1+$K$45)^L43</f>
        <v>0.9706617486471405</v>
      </c>
      <c r="M46" s="19">
        <f>1/(1+$K$45)^M43</f>
        <v>0.95631699374102519</v>
      </c>
      <c r="N46" s="19">
        <f t="shared" ref="N46:V46" si="22">1/(1+$K$45)^N43</f>
        <v>0.94218423028672449</v>
      </c>
      <c r="O46" s="19">
        <f t="shared" si="22"/>
        <v>0.92826032540563996</v>
      </c>
      <c r="P46" s="19">
        <f t="shared" si="22"/>
        <v>0.91454219251787205</v>
      </c>
      <c r="Q46" s="19">
        <f t="shared" si="22"/>
        <v>0.90102679065800217</v>
      </c>
      <c r="R46" s="19">
        <f t="shared" si="22"/>
        <v>0.88771112380098749</v>
      </c>
      <c r="S46" s="19">
        <f t="shared" si="22"/>
        <v>0.87459224019801729</v>
      </c>
      <c r="T46" s="19">
        <f t="shared" si="22"/>
        <v>0.86166723172218462</v>
      </c>
      <c r="U46" s="19">
        <f t="shared" si="22"/>
        <v>0.8489332332238273</v>
      </c>
      <c r="V46" s="23">
        <f t="shared" si="22"/>
        <v>0.83638742189539661</v>
      </c>
    </row>
    <row r="47" spans="1:22" x14ac:dyDescent="0.3">
      <c r="A47" s="7" t="s">
        <v>56</v>
      </c>
      <c r="B47" s="12">
        <v>1</v>
      </c>
      <c r="C47" s="12">
        <v>1</v>
      </c>
      <c r="D47" s="12">
        <v>5</v>
      </c>
      <c r="E47" s="12">
        <v>10</v>
      </c>
      <c r="F47" s="12">
        <v>5</v>
      </c>
      <c r="G47" s="12"/>
      <c r="H47" s="13">
        <f t="shared" si="21"/>
        <v>90</v>
      </c>
      <c r="J47" s="45" t="s">
        <v>64</v>
      </c>
      <c r="K47" s="19">
        <f>K44*K46</f>
        <v>24.630541871921185</v>
      </c>
      <c r="L47" s="19">
        <f>L44*L46</f>
        <v>24.266543716178511</v>
      </c>
      <c r="M47" s="19">
        <f t="shared" ref="M47:V47" si="23">M44*M46</f>
        <v>23.907924843525631</v>
      </c>
      <c r="N47" s="19">
        <f t="shared" si="23"/>
        <v>23.554605757168112</v>
      </c>
      <c r="O47" s="19">
        <f t="shared" si="23"/>
        <v>23.206508135141</v>
      </c>
      <c r="P47" s="19">
        <f t="shared" si="23"/>
        <v>22.863554812946802</v>
      </c>
      <c r="Q47" s="19">
        <f t="shared" si="23"/>
        <v>22.525669766450054</v>
      </c>
      <c r="R47" s="19">
        <f t="shared" si="23"/>
        <v>22.192778095024686</v>
      </c>
      <c r="S47" s="19">
        <f t="shared" si="23"/>
        <v>21.864806004950431</v>
      </c>
      <c r="T47" s="19">
        <f t="shared" si="23"/>
        <v>21.541680793054617</v>
      </c>
      <c r="U47" s="19">
        <f t="shared" si="23"/>
        <v>21.223330830595682</v>
      </c>
      <c r="V47" s="23">
        <f t="shared" si="23"/>
        <v>20.909685547384914</v>
      </c>
    </row>
    <row r="48" spans="1:22" x14ac:dyDescent="0.3">
      <c r="A48" s="7" t="s">
        <v>57</v>
      </c>
      <c r="B48" s="12">
        <v>3</v>
      </c>
      <c r="C48" s="12">
        <v>10</v>
      </c>
      <c r="D48" s="12">
        <v>9</v>
      </c>
      <c r="E48" s="12">
        <v>1</v>
      </c>
      <c r="F48" s="12">
        <v>8</v>
      </c>
      <c r="G48" s="12">
        <v>0</v>
      </c>
      <c r="H48" s="13">
        <f t="shared" si="21"/>
        <v>65</v>
      </c>
      <c r="J48" s="7" t="s">
        <v>65</v>
      </c>
      <c r="K48" s="19">
        <f>SUM(K47:V47)</f>
        <v>272.68763017434162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3"/>
    </row>
    <row r="49" spans="1:22" ht="16.2" thickBot="1" x14ac:dyDescent="0.35">
      <c r="A49" s="55" t="s">
        <v>58</v>
      </c>
      <c r="B49" s="56"/>
      <c r="C49" s="56"/>
      <c r="D49" s="56"/>
      <c r="E49" s="10"/>
      <c r="F49" s="10"/>
      <c r="G49" s="10"/>
      <c r="H49" s="11"/>
      <c r="J49" s="16" t="s">
        <v>66</v>
      </c>
      <c r="K49" s="46">
        <f>K48</f>
        <v>272.68763017434162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8"/>
    </row>
    <row r="50" spans="1:22" x14ac:dyDescent="0.3">
      <c r="A50" s="36" t="s">
        <v>59</v>
      </c>
      <c r="B50" s="32"/>
      <c r="C50" s="32"/>
      <c r="D50" s="32"/>
      <c r="E50" s="32"/>
      <c r="F50" s="32"/>
      <c r="G50" s="32"/>
      <c r="H50" s="33"/>
      <c r="I50" s="35"/>
    </row>
    <row r="51" spans="1:22" ht="16.2" thickBot="1" x14ac:dyDescent="0.35">
      <c r="A51" s="72" t="s">
        <v>60</v>
      </c>
      <c r="B51" s="73"/>
      <c r="C51" s="73"/>
      <c r="D51" s="73"/>
      <c r="E51" s="73"/>
      <c r="F51" s="73"/>
      <c r="G51" s="73"/>
      <c r="H51" s="74"/>
      <c r="I51" s="35"/>
    </row>
    <row r="52" spans="1:22" ht="16.2" thickBot="1" x14ac:dyDescent="0.35">
      <c r="A52" s="35"/>
      <c r="B52" s="35"/>
      <c r="C52" s="35"/>
      <c r="D52" s="35"/>
      <c r="E52" s="35"/>
      <c r="F52" s="35"/>
      <c r="G52" s="35"/>
      <c r="H52" s="35"/>
      <c r="I52" s="35"/>
    </row>
    <row r="53" spans="1:22" x14ac:dyDescent="0.3">
      <c r="A53" s="61" t="s">
        <v>68</v>
      </c>
      <c r="B53" s="4"/>
      <c r="C53" s="4"/>
      <c r="D53" s="4"/>
      <c r="E53" s="4"/>
      <c r="F53" s="5"/>
    </row>
    <row r="54" spans="1:22" x14ac:dyDescent="0.3">
      <c r="A54" s="7" t="s">
        <v>69</v>
      </c>
      <c r="B54" s="43">
        <v>100000000</v>
      </c>
      <c r="C54" s="43"/>
      <c r="D54" s="43"/>
      <c r="E54" s="43"/>
      <c r="F54" s="44"/>
    </row>
    <row r="55" spans="1:22" x14ac:dyDescent="0.3">
      <c r="A55" s="7" t="s">
        <v>70</v>
      </c>
      <c r="B55" s="25">
        <v>0.12</v>
      </c>
      <c r="C55" s="43"/>
      <c r="D55" s="43"/>
      <c r="E55" s="43"/>
      <c r="F55" s="44"/>
    </row>
    <row r="56" spans="1:22" x14ac:dyDescent="0.3">
      <c r="A56" s="7" t="s">
        <v>71</v>
      </c>
      <c r="B56" s="62">
        <v>10000000</v>
      </c>
      <c r="C56" s="43"/>
      <c r="D56" s="43"/>
      <c r="E56" s="43"/>
      <c r="F56" s="44"/>
    </row>
    <row r="57" spans="1:22" x14ac:dyDescent="0.3">
      <c r="A57" s="7" t="s">
        <v>72</v>
      </c>
      <c r="B57" s="43">
        <v>7</v>
      </c>
      <c r="C57" s="43"/>
      <c r="D57" s="43"/>
      <c r="E57" s="43"/>
      <c r="F57" s="44"/>
    </row>
    <row r="58" spans="1:22" x14ac:dyDescent="0.3">
      <c r="A58" s="7" t="s">
        <v>73</v>
      </c>
      <c r="B58" s="43">
        <v>5</v>
      </c>
      <c r="C58" s="43"/>
      <c r="D58" s="43"/>
      <c r="E58" s="43"/>
      <c r="F58" s="44"/>
    </row>
    <row r="59" spans="1:22" x14ac:dyDescent="0.3">
      <c r="A59" s="7" t="s">
        <v>74</v>
      </c>
      <c r="B59" s="43">
        <f>B54*(1+B55)^B57 - B56 * ((1+B55)^B57 - 1) / B55</f>
        <v>120178023.45676801</v>
      </c>
      <c r="C59" s="43"/>
      <c r="D59" s="43"/>
      <c r="E59" s="43"/>
      <c r="F59" s="44"/>
    </row>
    <row r="60" spans="1:22" x14ac:dyDescent="0.3">
      <c r="A60" s="7" t="s">
        <v>75</v>
      </c>
      <c r="B60" s="43">
        <f>B59/((1-(1+B55)^(-B58))/B55)</f>
        <v>33338553.272347081</v>
      </c>
      <c r="C60" s="43"/>
      <c r="D60" s="43"/>
      <c r="E60" s="43"/>
      <c r="F60" s="44"/>
    </row>
    <row r="61" spans="1:22" x14ac:dyDescent="0.3">
      <c r="A61" s="7" t="s">
        <v>0</v>
      </c>
      <c r="B61" s="43">
        <v>1</v>
      </c>
      <c r="C61" s="43">
        <v>2</v>
      </c>
      <c r="D61" s="43">
        <v>3</v>
      </c>
      <c r="E61" s="43">
        <v>4</v>
      </c>
      <c r="F61" s="44">
        <v>5</v>
      </c>
    </row>
    <row r="62" spans="1:22" x14ac:dyDescent="0.3">
      <c r="A62" s="45" t="s">
        <v>76</v>
      </c>
      <c r="B62" s="43">
        <f xml:space="preserve"> $B$59</f>
        <v>120178023.45676801</v>
      </c>
      <c r="C62" s="43">
        <f>B66</f>
        <v>101260832.99923308</v>
      </c>
      <c r="D62" s="43">
        <f t="shared" ref="D62:F62" si="24">C66</f>
        <v>80073579.686793968</v>
      </c>
      <c r="E62" s="43">
        <f t="shared" si="24"/>
        <v>56343855.976862162</v>
      </c>
      <c r="F62" s="44">
        <f t="shared" si="24"/>
        <v>29766565.421738539</v>
      </c>
    </row>
    <row r="63" spans="1:22" x14ac:dyDescent="0.3">
      <c r="A63" s="45" t="s">
        <v>77</v>
      </c>
      <c r="B63" s="43">
        <f xml:space="preserve"> $B$60</f>
        <v>33338553.272347081</v>
      </c>
      <c r="C63" s="43">
        <f xml:space="preserve"> $B$60</f>
        <v>33338553.272347081</v>
      </c>
      <c r="D63" s="43">
        <f xml:space="preserve"> $B$60</f>
        <v>33338553.272347081</v>
      </c>
      <c r="E63" s="43">
        <f xml:space="preserve"> $B$60</f>
        <v>33338553.272347081</v>
      </c>
      <c r="F63" s="44">
        <f xml:space="preserve"> $B$60</f>
        <v>33338553.272347081</v>
      </c>
    </row>
    <row r="64" spans="1:22" x14ac:dyDescent="0.3">
      <c r="A64" s="45" t="s">
        <v>78</v>
      </c>
      <c r="B64" s="43">
        <f xml:space="preserve"> B62 * $B$55</f>
        <v>14421362.814812161</v>
      </c>
      <c r="C64" s="43">
        <f xml:space="preserve"> C62 * $B$55</f>
        <v>12151299.959907969</v>
      </c>
      <c r="D64" s="43">
        <f xml:space="preserve"> D62 * $B$55</f>
        <v>9608829.5624152757</v>
      </c>
      <c r="E64" s="43">
        <f xml:space="preserve"> E62 * $B$55</f>
        <v>6761262.7172234589</v>
      </c>
      <c r="F64" s="44">
        <f xml:space="preserve"> F62 * $B$55</f>
        <v>3571987.8506086245</v>
      </c>
    </row>
    <row r="65" spans="1:8" x14ac:dyDescent="0.3">
      <c r="A65" s="45" t="s">
        <v>79</v>
      </c>
      <c r="B65" s="43">
        <f xml:space="preserve"> B63 - B64</f>
        <v>18917190.45753492</v>
      </c>
      <c r="C65" s="43">
        <f xml:space="preserve"> C63 - C64</f>
        <v>21187253.312439114</v>
      </c>
      <c r="D65" s="43">
        <f xml:space="preserve"> D63 - D64</f>
        <v>23729723.709931806</v>
      </c>
      <c r="E65" s="43">
        <f xml:space="preserve"> E63 - E64</f>
        <v>26577290.555123623</v>
      </c>
      <c r="F65" s="44">
        <f xml:space="preserve"> F63 - F64</f>
        <v>29766565.421738457</v>
      </c>
    </row>
    <row r="66" spans="1:8" ht="16.2" thickBot="1" x14ac:dyDescent="0.35">
      <c r="A66" s="63" t="s">
        <v>80</v>
      </c>
      <c r="B66" s="42">
        <f xml:space="preserve"> B62 - B65</f>
        <v>101260832.99923308</v>
      </c>
      <c r="C66" s="42">
        <f xml:space="preserve"> C62 - C65</f>
        <v>80073579.686793968</v>
      </c>
      <c r="D66" s="42">
        <f xml:space="preserve"> D62 - D65</f>
        <v>56343855.976862162</v>
      </c>
      <c r="E66" s="42">
        <f xml:space="preserve"> E62 - E65</f>
        <v>29766565.421738539</v>
      </c>
      <c r="F66" s="64">
        <f xml:space="preserve"> F62 - F65</f>
        <v>8.1956386566162109E-8</v>
      </c>
    </row>
    <row r="67" spans="1:8" x14ac:dyDescent="0.3">
      <c r="A67" s="71" t="s">
        <v>81</v>
      </c>
      <c r="B67" s="71"/>
      <c r="C67" s="71"/>
      <c r="D67" s="71"/>
      <c r="E67" s="71"/>
      <c r="F67" s="71"/>
      <c r="G67" s="71"/>
      <c r="H67" s="71"/>
    </row>
  </sheetData>
  <mergeCells count="17">
    <mergeCell ref="A67:H67"/>
    <mergeCell ref="A51:H51"/>
    <mergeCell ref="B26:C26"/>
    <mergeCell ref="D26:F26"/>
    <mergeCell ref="G26:H26"/>
    <mergeCell ref="B27:C27"/>
    <mergeCell ref="B28:C28"/>
    <mergeCell ref="D27:F27"/>
    <mergeCell ref="D28:F28"/>
    <mergeCell ref="G27:H27"/>
    <mergeCell ref="G28:H28"/>
    <mergeCell ref="A29:G29"/>
    <mergeCell ref="J2:R2"/>
    <mergeCell ref="J13:R13"/>
    <mergeCell ref="A2:G2"/>
    <mergeCell ref="A13:G13"/>
    <mergeCell ref="A49:D49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2025-09-18T15:11:07Z</dcterms:created>
  <dcterms:modified xsi:type="dcterms:W3CDTF">2025-09-20T03:30:02Z</dcterms:modified>
</cp:coreProperties>
</file>